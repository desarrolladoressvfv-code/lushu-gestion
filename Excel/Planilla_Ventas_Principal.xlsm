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\OneDrive\Documentos\Trabajo\Urnas\"/>
    </mc:Choice>
  </mc:AlternateContent>
  <xr:revisionPtr revIDLastSave="0" documentId="13_ncr:1_{A48BC024-BAB5-4D71-9121-51D8D1CAFCD8}" xr6:coauthVersionLast="47" xr6:coauthVersionMax="47" xr10:uidLastSave="{00000000-0000-0000-0000-000000000000}"/>
  <bookViews>
    <workbookView xWindow="-120" yWindow="-120" windowWidth="20730" windowHeight="11160" tabRatio="853" activeTab="4" xr2:uid="{00000000-000D-0000-FFFF-FFFF00000000}"/>
  </bookViews>
  <sheets>
    <sheet name="FORMULARIO" sheetId="1" r:id="rId1"/>
    <sheet name="VALORES" sheetId="4" r:id="rId2"/>
    <sheet name="SERVICIOS" sheetId="2" r:id="rId3"/>
    <sheet name="VENTAS" sheetId="5" r:id="rId4"/>
    <sheet name="FORMAS DE PAGO" sheetId="8" r:id="rId5"/>
    <sheet name="CHEQUES" sheetId="7" r:id="rId6"/>
    <sheet name="FALLECIDOS" sheetId="3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1" i="1" l="1"/>
  <c r="N43" i="1"/>
  <c r="N5" i="1"/>
  <c r="C24" i="1"/>
  <c r="G3" i="4"/>
  <c r="J4" i="8" l="1"/>
  <c r="H4" i="8"/>
  <c r="G4" i="8"/>
  <c r="F4" i="8"/>
  <c r="E4" i="8"/>
  <c r="N4" i="1" l="1"/>
  <c r="N33" i="1" l="1"/>
  <c r="N32" i="1"/>
  <c r="C13" i="1"/>
  <c r="T32" i="1"/>
  <c r="B4" i="7" l="1"/>
  <c r="J4" i="5"/>
  <c r="Q52" i="1"/>
  <c r="Q53" i="1" s="1"/>
  <c r="Q54" i="1" s="1"/>
  <c r="Q51" i="1"/>
  <c r="Q50" i="1"/>
  <c r="Q49" i="1"/>
  <c r="Q45" i="1"/>
  <c r="Q46" i="1" s="1"/>
  <c r="Q47" i="1" s="1"/>
  <c r="Q44" i="1"/>
  <c r="Q43" i="1"/>
  <c r="Q42" i="1"/>
  <c r="Q38" i="1"/>
  <c r="Q39" i="1" s="1"/>
  <c r="Q40" i="1" s="1"/>
  <c r="Q37" i="1"/>
  <c r="Q36" i="1"/>
  <c r="Q35" i="1"/>
  <c r="Q31" i="1"/>
  <c r="Q32" i="1" s="1"/>
  <c r="Q33" i="1" s="1"/>
  <c r="Q30" i="1"/>
  <c r="Q29" i="1"/>
  <c r="Q28" i="1"/>
  <c r="A4" i="7"/>
  <c r="N8" i="1"/>
  <c r="N2" i="1"/>
  <c r="N39" i="1"/>
  <c r="A4" i="8"/>
  <c r="C4" i="8"/>
  <c r="N11" i="1" l="1"/>
  <c r="N6" i="1" l="1"/>
  <c r="N48" i="1" l="1"/>
  <c r="N49" i="1" s="1"/>
  <c r="N50" i="1" s="1"/>
  <c r="N47" i="1"/>
  <c r="N46" i="1"/>
  <c r="G29" i="1" l="1"/>
  <c r="N34" i="1" s="1"/>
  <c r="N31" i="1"/>
  <c r="N30" i="1"/>
  <c r="N28" i="1"/>
  <c r="N26" i="1"/>
  <c r="N15" i="1"/>
  <c r="N19" i="1"/>
  <c r="N14" i="1"/>
  <c r="A4" i="2"/>
  <c r="A4" i="5" l="1"/>
  <c r="A4" i="3"/>
  <c r="N44" i="1" l="1"/>
  <c r="F4" i="5" l="1"/>
  <c r="E4" i="5"/>
  <c r="G4" i="5"/>
  <c r="I4" i="5"/>
  <c r="E4" i="3"/>
  <c r="C17" i="1"/>
  <c r="N37" i="1"/>
  <c r="N17" i="1"/>
  <c r="N38" i="1"/>
  <c r="N29" i="1"/>
  <c r="E19" i="1" l="1"/>
  <c r="N18" i="1"/>
  <c r="N10" i="1"/>
  <c r="N9" i="1"/>
  <c r="N7" i="1"/>
  <c r="N3" i="1"/>
  <c r="N16" i="1"/>
  <c r="N42" i="1" l="1"/>
  <c r="N40" i="1"/>
  <c r="H14" i="1" l="1"/>
  <c r="H16" i="1" s="1"/>
  <c r="H18" i="1" l="1"/>
  <c r="I30" i="1" s="1"/>
  <c r="N20" i="1"/>
  <c r="N21" i="1"/>
  <c r="N27" i="1" l="1"/>
  <c r="S25" i="1"/>
  <c r="S27" i="1" s="1"/>
  <c r="N12" i="1"/>
  <c r="N22" i="1"/>
  <c r="N35" i="1" l="1"/>
  <c r="K4" i="2"/>
  <c r="N13" i="1"/>
  <c r="N45" i="1"/>
  <c r="N36" i="1"/>
  <c r="N25" i="1"/>
</calcChain>
</file>

<file path=xl/sharedStrings.xml><?xml version="1.0" encoding="utf-8"?>
<sst xmlns="http://schemas.openxmlformats.org/spreadsheetml/2006/main" count="144" uniqueCount="109">
  <si>
    <t>Fecha de servicio</t>
  </si>
  <si>
    <t>Tipo de urna</t>
  </si>
  <si>
    <t>Convenios</t>
  </si>
  <si>
    <t>Lugar de servicio</t>
  </si>
  <si>
    <t>Cementerio</t>
  </si>
  <si>
    <t>Instalador</t>
  </si>
  <si>
    <t>Valor total del servicio</t>
  </si>
  <si>
    <t>Color</t>
  </si>
  <si>
    <t xml:space="preserve">Nombre </t>
  </si>
  <si>
    <t>Sexo</t>
  </si>
  <si>
    <t>Edad</t>
  </si>
  <si>
    <t xml:space="preserve">Fecha defuncion </t>
  </si>
  <si>
    <t>Causa de muerte</t>
  </si>
  <si>
    <t>Comuna</t>
  </si>
  <si>
    <t>DATOS DEL SERVICIO</t>
  </si>
  <si>
    <t>MACKEL PINO</t>
  </si>
  <si>
    <t>precio</t>
  </si>
  <si>
    <t>INP</t>
  </si>
  <si>
    <t>Descuento</t>
  </si>
  <si>
    <t>VENTA</t>
  </si>
  <si>
    <t>Valor adicional</t>
  </si>
  <si>
    <t>Convenio</t>
  </si>
  <si>
    <t>Valor neto</t>
  </si>
  <si>
    <t>Total</t>
  </si>
  <si>
    <t>PLANA BASICA</t>
  </si>
  <si>
    <t>REBALSADA BASICA</t>
  </si>
  <si>
    <t>AMERICANA</t>
  </si>
  <si>
    <t>RAULI</t>
  </si>
  <si>
    <t>DIPRECA</t>
  </si>
  <si>
    <t>SEGURO DE VIDA</t>
  </si>
  <si>
    <t>IVA</t>
  </si>
  <si>
    <t>MACKEL PINO LUZ</t>
  </si>
  <si>
    <t>AMERICANA CUERPO ENTERO</t>
  </si>
  <si>
    <t>CASTAÑO</t>
  </si>
  <si>
    <t>Venta</t>
  </si>
  <si>
    <t>NINGUNO</t>
  </si>
  <si>
    <t xml:space="preserve">AFP </t>
  </si>
  <si>
    <t>Descuento (precio)</t>
  </si>
  <si>
    <t>%</t>
  </si>
  <si>
    <t>Venta neta</t>
  </si>
  <si>
    <t>Nombre</t>
  </si>
  <si>
    <t xml:space="preserve">Fecha defunsion </t>
  </si>
  <si>
    <t>causa de muerte</t>
  </si>
  <si>
    <t>Valor servicio</t>
  </si>
  <si>
    <t>FORMAS DE PAGO</t>
  </si>
  <si>
    <t>Efectivo</t>
  </si>
  <si>
    <t>Tarjeta</t>
  </si>
  <si>
    <t>Cheque</t>
  </si>
  <si>
    <t>Monto</t>
  </si>
  <si>
    <t>Vencimiento</t>
  </si>
  <si>
    <t>Saldo Pendiente</t>
  </si>
  <si>
    <t>DATOS FALLECIDO</t>
  </si>
  <si>
    <t>Nº Formulario</t>
  </si>
  <si>
    <t>Nº1</t>
  </si>
  <si>
    <t>Nº2</t>
  </si>
  <si>
    <t>Nº3</t>
  </si>
  <si>
    <t>Nº4</t>
  </si>
  <si>
    <t>Nº5</t>
  </si>
  <si>
    <t>Nº Documento</t>
  </si>
  <si>
    <t>Nombre cliente</t>
  </si>
  <si>
    <t>Nombre Cliente</t>
  </si>
  <si>
    <t>Valor de servicio</t>
  </si>
  <si>
    <t xml:space="preserve">Total  </t>
  </si>
  <si>
    <t>Venta total</t>
  </si>
  <si>
    <t>Dias restantes</t>
  </si>
  <si>
    <t>color</t>
  </si>
  <si>
    <t>Fecha</t>
  </si>
  <si>
    <t>Venta Total</t>
  </si>
  <si>
    <t>Valor</t>
  </si>
  <si>
    <t xml:space="preserve">Efectivo </t>
  </si>
  <si>
    <t>Valor Cheques</t>
  </si>
  <si>
    <t xml:space="preserve">Estado </t>
  </si>
  <si>
    <t>Trabajadores</t>
  </si>
  <si>
    <t>ANDRES PEREZ</t>
  </si>
  <si>
    <t>FIDEL LOPEZ</t>
  </si>
  <si>
    <t>NICOLAS PALACIOS</t>
  </si>
  <si>
    <t>MATIAS PIZARRO</t>
  </si>
  <si>
    <t>Femenino</t>
  </si>
  <si>
    <t>Masculino</t>
  </si>
  <si>
    <t>Lugar de retiro</t>
  </si>
  <si>
    <t>ROBERTO DIAZ</t>
  </si>
  <si>
    <t xml:space="preserve"> </t>
  </si>
  <si>
    <t xml:space="preserve">Digitar el numero del formulario manualmente </t>
  </si>
  <si>
    <t>Para registrar mas de un cheque seleccionar los botones de registro manuales</t>
  </si>
  <si>
    <t>Estado</t>
  </si>
  <si>
    <t>Pago en cuotas</t>
  </si>
  <si>
    <t>Cuotas</t>
  </si>
  <si>
    <t>Deuda total</t>
  </si>
  <si>
    <t>Monto a pagar</t>
  </si>
  <si>
    <t>Calculo de cuota</t>
  </si>
  <si>
    <t>Monto a pagar en cuotas</t>
  </si>
  <si>
    <t>Calculo manual</t>
  </si>
  <si>
    <t>Valor cuota</t>
  </si>
  <si>
    <t>Numero</t>
  </si>
  <si>
    <t>Monto en Cuotas</t>
  </si>
  <si>
    <t>Planillas SV</t>
  </si>
  <si>
    <t>Rut</t>
  </si>
  <si>
    <t>Valor UF</t>
  </si>
  <si>
    <t>Cantidad</t>
  </si>
  <si>
    <t xml:space="preserve">Valor </t>
  </si>
  <si>
    <t>Número telefonico</t>
  </si>
  <si>
    <t>Número telef.</t>
  </si>
  <si>
    <t>Cheques</t>
  </si>
  <si>
    <t>fallecidos</t>
  </si>
  <si>
    <t>formas pago</t>
  </si>
  <si>
    <t>venta</t>
  </si>
  <si>
    <t>servicio</t>
  </si>
  <si>
    <t xml:space="preserve">FUNERARIA </t>
  </si>
  <si>
    <t>Informacion adicional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</si>
</sst>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 &quot;$&quot;* #,##0_ ;_ &quot;$&quot;* \-#,##0_ ;_ &quot;$&quot;* &quot;-&quot;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theme="1"/>
      <name val="Bernard MT Condensed"/>
      <family val="1"/>
    </font>
    <font>
      <i/>
      <sz val="12"/>
      <color theme="1"/>
      <name val="Franklin Gothic Dem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Segoe UI Black"/>
      <family val="2"/>
    </font>
    <font>
      <b/>
      <sz val="11"/>
      <color theme="1"/>
      <name val="Arial Rounded MT Bold"/>
      <family val="2"/>
    </font>
    <font>
      <sz val="11"/>
      <color theme="1"/>
      <name val="Calibri"/>
      <family val="2"/>
    </font>
    <font>
      <sz val="12"/>
      <color theme="1"/>
      <name val="Bahnschrift Condensed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1" fontId="0" fillId="0" borderId="0" xfId="0" applyNumberFormat="1"/>
    <xf numFmtId="0" fontId="0" fillId="2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hidden="1"/>
    </xf>
    <xf numFmtId="0" fontId="4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protection hidden="1"/>
    </xf>
    <xf numFmtId="0" fontId="0" fillId="3" borderId="0" xfId="0" applyFill="1" applyProtection="1">
      <protection hidden="1"/>
    </xf>
    <xf numFmtId="42" fontId="0" fillId="3" borderId="0" xfId="1" applyFont="1" applyFill="1" applyAlignment="1" applyProtection="1">
      <alignment horizontal="center"/>
      <protection hidden="1"/>
    </xf>
    <xf numFmtId="9" fontId="6" fillId="5" borderId="0" xfId="2" applyFont="1" applyFill="1" applyAlignment="1" applyProtection="1">
      <alignment horizontal="center"/>
      <protection hidden="1"/>
    </xf>
    <xf numFmtId="42" fontId="0" fillId="3" borderId="0" xfId="1" applyFont="1" applyFill="1" applyProtection="1">
      <protection hidden="1"/>
    </xf>
    <xf numFmtId="0" fontId="4" fillId="5" borderId="0" xfId="0" applyFont="1" applyFill="1" applyAlignment="1" applyProtection="1">
      <alignment horizontal="left"/>
      <protection hidden="1"/>
    </xf>
    <xf numFmtId="42" fontId="0" fillId="5" borderId="0" xfId="1" applyFont="1" applyFill="1" applyProtection="1">
      <protection hidden="1"/>
    </xf>
    <xf numFmtId="0" fontId="8" fillId="5" borderId="6" xfId="0" applyFont="1" applyFill="1" applyBorder="1" applyProtection="1">
      <protection hidden="1"/>
    </xf>
    <xf numFmtId="42" fontId="0" fillId="3" borderId="6" xfId="0" applyNumberFormat="1" applyFill="1" applyBorder="1" applyProtection="1">
      <protection hidden="1"/>
    </xf>
    <xf numFmtId="1" fontId="5" fillId="5" borderId="0" xfId="2" applyNumberFormat="1" applyFont="1" applyFill="1" applyAlignment="1" applyProtection="1">
      <alignment horizontal="right"/>
      <protection hidden="1"/>
    </xf>
    <xf numFmtId="0" fontId="5" fillId="5" borderId="0" xfId="0" applyFont="1" applyFill="1" applyProtection="1">
      <protection hidden="1"/>
    </xf>
    <xf numFmtId="0" fontId="5" fillId="5" borderId="0" xfId="0" applyFont="1" applyFill="1" applyAlignment="1" applyProtection="1">
      <alignment horizontal="center"/>
      <protection hidden="1"/>
    </xf>
    <xf numFmtId="42" fontId="1" fillId="3" borderId="6" xfId="1" applyFont="1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0" fillId="3" borderId="0" xfId="0" applyFill="1" applyAlignment="1" applyProtection="1">
      <alignment horizontal="center"/>
      <protection locked="0" hidden="1"/>
    </xf>
    <xf numFmtId="42" fontId="0" fillId="3" borderId="1" xfId="1" applyFont="1" applyFill="1" applyBorder="1" applyAlignment="1" applyProtection="1">
      <alignment horizontal="center"/>
      <protection locked="0" hidden="1"/>
    </xf>
    <xf numFmtId="1" fontId="0" fillId="3" borderId="1" xfId="1" applyNumberFormat="1" applyFont="1" applyFill="1" applyBorder="1" applyAlignment="1" applyProtection="1">
      <alignment horizontal="center"/>
      <protection locked="0" hidden="1"/>
    </xf>
    <xf numFmtId="42" fontId="0" fillId="3" borderId="4" xfId="1" applyFont="1" applyFill="1" applyBorder="1" applyAlignment="1" applyProtection="1">
      <alignment horizontal="center"/>
      <protection locked="0" hidden="1"/>
    </xf>
    <xf numFmtId="14" fontId="0" fillId="3" borderId="0" xfId="0" applyNumberFormat="1" applyFill="1" applyAlignment="1" applyProtection="1">
      <alignment horizontal="center"/>
      <protection locked="0" hidden="1"/>
    </xf>
    <xf numFmtId="0" fontId="0" fillId="6" borderId="1" xfId="0" applyFill="1" applyBorder="1" applyProtection="1">
      <protection hidden="1"/>
    </xf>
    <xf numFmtId="0" fontId="0" fillId="0" borderId="0" xfId="0" applyProtection="1">
      <protection locked="0" hidden="1"/>
    </xf>
    <xf numFmtId="1" fontId="0" fillId="0" borderId="0" xfId="0" applyNumberFormat="1" applyProtection="1">
      <protection locked="0" hidden="1"/>
    </xf>
    <xf numFmtId="14" fontId="0" fillId="0" borderId="0" xfId="0" applyNumberFormat="1" applyProtection="1">
      <protection locked="0" hidden="1"/>
    </xf>
    <xf numFmtId="42" fontId="0" fillId="0" borderId="0" xfId="0" applyNumberFormat="1" applyProtection="1">
      <protection locked="0" hidden="1"/>
    </xf>
    <xf numFmtId="0" fontId="2" fillId="0" borderId="0" xfId="0" applyFont="1" applyProtection="1">
      <protection locked="0" hidden="1"/>
    </xf>
    <xf numFmtId="0" fontId="3" fillId="0" borderId="0" xfId="0" applyFont="1" applyAlignment="1" applyProtection="1">
      <protection hidden="1"/>
    </xf>
    <xf numFmtId="42" fontId="0" fillId="7" borderId="1" xfId="1" applyFont="1" applyFill="1" applyBorder="1" applyProtection="1">
      <protection hidden="1"/>
    </xf>
    <xf numFmtId="14" fontId="0" fillId="0" borderId="0" xfId="0" applyNumberFormat="1" applyBorder="1"/>
    <xf numFmtId="1" fontId="5" fillId="8" borderId="13" xfId="0" applyNumberFormat="1" applyFont="1" applyFill="1" applyBorder="1" applyAlignment="1" applyProtection="1">
      <alignment horizontal="center"/>
      <protection locked="0" hidden="1"/>
    </xf>
    <xf numFmtId="0" fontId="0" fillId="5" borderId="0" xfId="0" applyFont="1" applyFill="1" applyAlignment="1" applyProtection="1">
      <alignment horizontal="center"/>
      <protection hidden="1"/>
    </xf>
    <xf numFmtId="0" fontId="4" fillId="5" borderId="0" xfId="0" applyFont="1" applyFill="1" applyAlignment="1" applyProtection="1">
      <alignment horizontal="center"/>
      <protection hidden="1"/>
    </xf>
    <xf numFmtId="0" fontId="9" fillId="5" borderId="1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locked="0" hidden="1"/>
    </xf>
    <xf numFmtId="0" fontId="0" fillId="5" borderId="9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0" fillId="5" borderId="12" xfId="0" applyFill="1" applyBorder="1" applyProtection="1">
      <protection hidden="1"/>
    </xf>
    <xf numFmtId="0" fontId="0" fillId="5" borderId="18" xfId="0" applyFill="1" applyBorder="1" applyProtection="1">
      <protection hidden="1"/>
    </xf>
    <xf numFmtId="42" fontId="0" fillId="2" borderId="1" xfId="1" applyFont="1" applyFill="1" applyBorder="1" applyProtection="1">
      <protection locked="0" hidden="1"/>
    </xf>
    <xf numFmtId="0" fontId="0" fillId="2" borderId="10" xfId="0" applyFill="1" applyBorder="1" applyProtection="1">
      <protection locked="0" hidden="1"/>
    </xf>
    <xf numFmtId="42" fontId="0" fillId="0" borderId="0" xfId="1" applyFont="1" applyBorder="1"/>
    <xf numFmtId="42" fontId="0" fillId="0" borderId="0" xfId="1" applyFont="1" applyProtection="1">
      <protection locked="0" hidden="1"/>
    </xf>
    <xf numFmtId="42" fontId="0" fillId="3" borderId="0" xfId="0" applyNumberFormat="1" applyFill="1" applyBorder="1" applyProtection="1">
      <protection hidden="1"/>
    </xf>
    <xf numFmtId="42" fontId="0" fillId="0" borderId="1" xfId="1" applyFont="1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14" xfId="0" applyFill="1" applyBorder="1" applyProtection="1">
      <protection hidden="1"/>
    </xf>
    <xf numFmtId="0" fontId="5" fillId="5" borderId="10" xfId="0" applyFont="1" applyFill="1" applyBorder="1" applyProtection="1">
      <protection hidden="1"/>
    </xf>
    <xf numFmtId="0" fontId="0" fillId="5" borderId="10" xfId="0" applyFill="1" applyBorder="1" applyProtection="1">
      <protection hidden="1"/>
    </xf>
    <xf numFmtId="0" fontId="0" fillId="5" borderId="14" xfId="0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protection hidden="1"/>
    </xf>
    <xf numFmtId="0" fontId="0" fillId="5" borderId="17" xfId="0" applyFill="1" applyBorder="1" applyProtection="1">
      <protection hidden="1"/>
    </xf>
    <xf numFmtId="0" fontId="0" fillId="5" borderId="17" xfId="0" applyFill="1" applyBorder="1" applyAlignment="1" applyProtection="1">
      <protection hidden="1"/>
    </xf>
    <xf numFmtId="0" fontId="0" fillId="5" borderId="16" xfId="0" applyFill="1" applyBorder="1" applyAlignment="1" applyProtection="1">
      <protection hidden="1"/>
    </xf>
    <xf numFmtId="0" fontId="0" fillId="5" borderId="10" xfId="0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0" fillId="5" borderId="11" xfId="0" applyFill="1" applyBorder="1" applyProtection="1">
      <protection hidden="1"/>
    </xf>
    <xf numFmtId="0" fontId="0" fillId="5" borderId="15" xfId="0" applyFill="1" applyBorder="1" applyProtection="1">
      <protection hidden="1"/>
    </xf>
    <xf numFmtId="42" fontId="0" fillId="2" borderId="0" xfId="1" applyFont="1" applyFill="1" applyBorder="1" applyAlignment="1" applyProtection="1">
      <alignment horizontal="center"/>
      <protection hidden="1"/>
    </xf>
    <xf numFmtId="0" fontId="0" fillId="0" borderId="3" xfId="0" applyFont="1" applyBorder="1" applyProtection="1">
      <protection hidden="1"/>
    </xf>
    <xf numFmtId="0" fontId="0" fillId="0" borderId="1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4" borderId="7" xfId="0" applyFont="1" applyFill="1" applyBorder="1" applyProtection="1">
      <protection hidden="1"/>
    </xf>
    <xf numFmtId="42" fontId="0" fillId="3" borderId="0" xfId="1" applyFont="1" applyFill="1" applyAlignment="1" applyProtection="1">
      <alignment horizontal="left"/>
      <protection locked="0" hidden="1"/>
    </xf>
    <xf numFmtId="0" fontId="10" fillId="8" borderId="1" xfId="0" applyFont="1" applyFill="1" applyBorder="1" applyAlignment="1" applyProtection="1">
      <alignment horizontal="center"/>
      <protection locked="0" hidden="1"/>
    </xf>
    <xf numFmtId="42" fontId="0" fillId="0" borderId="0" xfId="1" applyFont="1"/>
    <xf numFmtId="0" fontId="2" fillId="0" borderId="1" xfId="0" applyFont="1" applyBorder="1" applyProtection="1">
      <protection locked="0" hidden="1"/>
    </xf>
    <xf numFmtId="42" fontId="0" fillId="0" borderId="2" xfId="1" applyFont="1" applyBorder="1" applyProtection="1">
      <protection locked="0" hidden="1"/>
    </xf>
    <xf numFmtId="0" fontId="2" fillId="0" borderId="4" xfId="0" applyFont="1" applyBorder="1" applyProtection="1">
      <protection locked="0" hidden="1"/>
    </xf>
    <xf numFmtId="42" fontId="0" fillId="0" borderId="5" xfId="1" applyFont="1" applyBorder="1" applyProtection="1">
      <protection locked="0" hidden="1"/>
    </xf>
    <xf numFmtId="0" fontId="0" fillId="0" borderId="1" xfId="0" applyBorder="1" applyProtection="1">
      <protection locked="0" hidden="1"/>
    </xf>
    <xf numFmtId="0" fontId="0" fillId="0" borderId="4" xfId="0" applyBorder="1" applyProtection="1">
      <protection locked="0" hidden="1"/>
    </xf>
    <xf numFmtId="0" fontId="0" fillId="0" borderId="1" xfId="0" applyFont="1" applyBorder="1" applyProtection="1">
      <protection locked="0" hidden="1"/>
    </xf>
    <xf numFmtId="0" fontId="0" fillId="4" borderId="4" xfId="0" applyFont="1" applyFill="1" applyBorder="1" applyProtection="1">
      <protection locked="0" hidden="1"/>
    </xf>
    <xf numFmtId="0" fontId="0" fillId="4" borderId="1" xfId="0" applyFont="1" applyFill="1" applyBorder="1" applyProtection="1">
      <protection locked="0" hidden="1"/>
    </xf>
    <xf numFmtId="42" fontId="0" fillId="0" borderId="0" xfId="0" applyNumberFormat="1"/>
    <xf numFmtId="14" fontId="0" fillId="3" borderId="1" xfId="1" applyNumberFormat="1" applyFont="1" applyFill="1" applyBorder="1" applyAlignment="1" applyProtection="1">
      <alignment horizontal="center"/>
      <protection locked="0" hidden="1"/>
    </xf>
    <xf numFmtId="14" fontId="0" fillId="3" borderId="1" xfId="0" applyNumberFormat="1" applyFill="1" applyBorder="1" applyAlignment="1" applyProtection="1">
      <alignment horizontal="center"/>
      <protection locked="0" hidden="1"/>
    </xf>
    <xf numFmtId="0" fontId="11" fillId="0" borderId="0" xfId="0" applyFont="1" applyProtection="1">
      <protection hidden="1"/>
    </xf>
    <xf numFmtId="42" fontId="0" fillId="0" borderId="0" xfId="0" applyNumberFormat="1" applyFont="1"/>
    <xf numFmtId="0" fontId="0" fillId="0" borderId="0" xfId="0" applyFill="1" applyAlignment="1" applyProtection="1">
      <alignment horizontal="center"/>
      <protection locked="0" hidden="1"/>
    </xf>
    <xf numFmtId="0" fontId="0" fillId="0" borderId="0" xfId="0" applyBorder="1" applyProtection="1">
      <protection locked="0" hidden="1"/>
    </xf>
    <xf numFmtId="0" fontId="0" fillId="10" borderId="0" xfId="0" applyFill="1" applyAlignment="1" applyProtection="1">
      <alignment horizontal="center"/>
      <protection hidden="1"/>
    </xf>
    <xf numFmtId="42" fontId="0" fillId="9" borderId="6" xfId="1" applyFont="1" applyFill="1" applyBorder="1" applyAlignment="1" applyProtection="1">
      <alignment horizontal="center"/>
      <protection hidden="1"/>
    </xf>
    <xf numFmtId="42" fontId="0" fillId="0" borderId="1" xfId="1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1" fontId="0" fillId="0" borderId="0" xfId="0" applyNumberFormat="1" applyAlignment="1">
      <alignment horizontal="center"/>
    </xf>
    <xf numFmtId="0" fontId="6" fillId="0" borderId="0" xfId="0" applyFont="1" applyAlignment="1" applyProtection="1">
      <alignment horizontal="center"/>
      <protection locked="0" hidden="1"/>
    </xf>
    <xf numFmtId="0" fontId="6" fillId="5" borderId="19" xfId="0" applyFont="1" applyFill="1" applyBorder="1" applyAlignment="1" applyProtection="1">
      <alignment horizontal="center"/>
      <protection hidden="1"/>
    </xf>
    <xf numFmtId="0" fontId="6" fillId="5" borderId="20" xfId="0" applyFont="1" applyFill="1" applyBorder="1" applyAlignment="1" applyProtection="1">
      <alignment horizontal="center"/>
      <protection hidden="1"/>
    </xf>
    <xf numFmtId="0" fontId="6" fillId="5" borderId="21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locked="0" hidden="1"/>
    </xf>
    <xf numFmtId="42" fontId="0" fillId="3" borderId="0" xfId="1" applyFont="1" applyFill="1" applyAlignment="1" applyProtection="1">
      <alignment horizontal="center"/>
      <protection locked="0" hidden="1"/>
    </xf>
    <xf numFmtId="42" fontId="0" fillId="3" borderId="1" xfId="1" applyNumberFormat="1" applyFont="1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locked="0" hidden="1"/>
    </xf>
    <xf numFmtId="0" fontId="0" fillId="8" borderId="5" xfId="0" applyFill="1" applyBorder="1" applyAlignment="1" applyProtection="1">
      <alignment horizontal="center" wrapText="1"/>
      <protection locked="0" hidden="1"/>
    </xf>
    <xf numFmtId="0" fontId="0" fillId="8" borderId="9" xfId="0" applyFill="1" applyBorder="1" applyAlignment="1" applyProtection="1">
      <alignment horizontal="center" wrapText="1"/>
      <protection locked="0" hidden="1"/>
    </xf>
    <xf numFmtId="0" fontId="0" fillId="8" borderId="10" xfId="0" applyFill="1" applyBorder="1" applyAlignment="1" applyProtection="1">
      <alignment horizontal="center" wrapText="1"/>
      <protection locked="0" hidden="1"/>
    </xf>
    <xf numFmtId="0" fontId="0" fillId="8" borderId="8" xfId="0" applyFill="1" applyBorder="1" applyAlignment="1" applyProtection="1">
      <alignment horizontal="center" wrapText="1"/>
      <protection locked="0" hidden="1"/>
    </xf>
    <xf numFmtId="0" fontId="0" fillId="8" borderId="11" xfId="0" applyFill="1" applyBorder="1" applyAlignment="1" applyProtection="1">
      <alignment horizontal="center" wrapText="1"/>
      <protection locked="0" hidden="1"/>
    </xf>
    <xf numFmtId="0" fontId="0" fillId="8" borderId="12" xfId="0" applyFill="1" applyBorder="1" applyAlignment="1" applyProtection="1">
      <alignment horizontal="center" wrapText="1"/>
      <protection locked="0" hidden="1"/>
    </xf>
    <xf numFmtId="0" fontId="0" fillId="8" borderId="1" xfId="0" applyFill="1" applyBorder="1" applyAlignment="1" applyProtection="1">
      <alignment horizontal="center" wrapText="1"/>
      <protection locked="0" hidden="1"/>
    </xf>
    <xf numFmtId="42" fontId="0" fillId="3" borderId="0" xfId="1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14" fontId="0" fillId="3" borderId="0" xfId="0" applyNumberFormat="1" applyFill="1" applyAlignment="1" applyProtection="1">
      <alignment horizontal="center"/>
      <protection locked="0" hidden="1"/>
    </xf>
    <xf numFmtId="0" fontId="0" fillId="0" borderId="0" xfId="0" applyFont="1"/>
    <xf numFmtId="42" fontId="0" fillId="0" borderId="0" xfId="1" applyFont="1" applyAlignment="1">
      <alignment horizontal="center"/>
    </xf>
  </cellXfs>
  <cellStyles count="3">
    <cellStyle name="Moneda [0]" xfId="1" builtinId="7"/>
    <cellStyle name="Normal" xfId="0" builtinId="0"/>
    <cellStyle name="Porcentaje" xfId="2" builtinId="5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 &quot;$&quot;* #,##0_ ;_ &quot;$&quot;* \-#,##0_ ;_ &quot;$&quot;* &quot;-&quot;_ ;_ @_ 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 &quot;$&quot;* #,##0_ ;_ &quot;$&quot;* \-#,##0_ ;_ &quot;$&quot;* &quot;-&quot;_ ;_ @_ 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2" formatCode="_ &quot;$&quot;* #,##0_ ;_ &quot;$&quot;* \-#,##0_ ;_ &quot;$&quot;* &quot;-&quot;_ ;_ @_ "/>
    </dxf>
    <dxf>
      <numFmt numFmtId="19" formatCode="dd/mm/yyyy"/>
    </dxf>
    <dxf>
      <numFmt numFmtId="19" formatCode="dd/mm/yyyy"/>
    </dxf>
    <dxf>
      <numFmt numFmtId="32" formatCode="_ &quot;$&quot;* #,##0_ ;_ &quot;$&quot;* \-#,##0_ ;_ &quot;$&quot;* &quot;-&quot;_ ;_ @_ 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protection locked="1" hidden="1"/>
    </dxf>
    <dxf>
      <border outline="0">
        <right style="thin">
          <color indexed="64"/>
        </right>
      </border>
    </dxf>
    <dxf>
      <protection locked="1" hidden="1"/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protection locked="1" hidden="1"/>
    </dxf>
    <dxf>
      <border outline="0">
        <right style="thin">
          <color indexed="64"/>
        </right>
      </border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Q$3" fmlaRange="VALORES!$B$5:$B$34" noThreeD="1" sel="7" val="6"/>
</file>

<file path=xl/ctrlProps/ctrlProp2.xml><?xml version="1.0" encoding="utf-8"?>
<formControlPr xmlns="http://schemas.microsoft.com/office/spreadsheetml/2009/9/main" objectType="Drop" dropStyle="combo" dx="22" fmlaLink="$M$14" fmlaRange="VALORES!$F$6:$F$12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Q$10" fmlaRange="VALORES!$J$6:$J$15" noThreeD="1" sel="1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7</xdr:row>
          <xdr:rowOff>171450</xdr:rowOff>
        </xdr:from>
        <xdr:to>
          <xdr:col>4</xdr:col>
          <xdr:colOff>0</xdr:colOff>
          <xdr:row>9</xdr:row>
          <xdr:rowOff>123825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1628775</xdr:colOff>
          <xdr:row>24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35</xdr:row>
          <xdr:rowOff>76200</xdr:rowOff>
        </xdr:from>
        <xdr:to>
          <xdr:col>10</xdr:col>
          <xdr:colOff>276225</xdr:colOff>
          <xdr:row>37</xdr:row>
          <xdr:rowOff>104775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38</xdr:row>
          <xdr:rowOff>19050</xdr:rowOff>
        </xdr:from>
        <xdr:to>
          <xdr:col>10</xdr:col>
          <xdr:colOff>285750</xdr:colOff>
          <xdr:row>40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1285875</xdr:colOff>
          <xdr:row>7</xdr:row>
          <xdr:rowOff>152400</xdr:rowOff>
        </xdr:from>
        <xdr:to>
          <xdr:col>9</xdr:col>
          <xdr:colOff>9525</xdr:colOff>
          <xdr:row>9</xdr:row>
          <xdr:rowOff>123825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24</xdr:row>
          <xdr:rowOff>9525</xdr:rowOff>
        </xdr:from>
        <xdr:to>
          <xdr:col>10</xdr:col>
          <xdr:colOff>266700</xdr:colOff>
          <xdr:row>24</xdr:row>
          <xdr:rowOff>209550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N°2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25</xdr:row>
          <xdr:rowOff>19050</xdr:rowOff>
        </xdr:from>
        <xdr:to>
          <xdr:col>10</xdr:col>
          <xdr:colOff>266700</xdr:colOff>
          <xdr:row>26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Resgistrar N°3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26</xdr:row>
          <xdr:rowOff>47625</xdr:rowOff>
        </xdr:from>
        <xdr:to>
          <xdr:col>10</xdr:col>
          <xdr:colOff>266700</xdr:colOff>
          <xdr:row>27</xdr:row>
          <xdr:rowOff>19050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N°4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27</xdr:row>
          <xdr:rowOff>57150</xdr:rowOff>
        </xdr:from>
        <xdr:to>
          <xdr:col>10</xdr:col>
          <xdr:colOff>266700</xdr:colOff>
          <xdr:row>28</xdr:row>
          <xdr:rowOff>38100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N°5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672358</xdr:colOff>
      <xdr:row>0</xdr:row>
      <xdr:rowOff>145676</xdr:rowOff>
    </xdr:from>
    <xdr:to>
      <xdr:col>9</xdr:col>
      <xdr:colOff>11206</xdr:colOff>
      <xdr:row>0</xdr:row>
      <xdr:rowOff>313765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8449240" y="145676"/>
          <a:ext cx="526672" cy="168089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22413</xdr:colOff>
      <xdr:row>18</xdr:row>
      <xdr:rowOff>33617</xdr:rowOff>
    </xdr:from>
    <xdr:to>
      <xdr:col>12</xdr:col>
      <xdr:colOff>0</xdr:colOff>
      <xdr:row>24</xdr:row>
      <xdr:rowOff>56030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0387854" y="3888441"/>
          <a:ext cx="739587" cy="1165413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1176618</xdr:colOff>
      <xdr:row>0</xdr:row>
      <xdr:rowOff>145676</xdr:rowOff>
    </xdr:from>
    <xdr:to>
      <xdr:col>17</xdr:col>
      <xdr:colOff>11206</xdr:colOff>
      <xdr:row>1</xdr:row>
      <xdr:rowOff>22412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8953500" y="145676"/>
          <a:ext cx="2185147" cy="24653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4:C34" totalsRowShown="0" headerRowDxfId="49" dataDxfId="48" tableBorderDxfId="47">
  <autoFilter ref="A4:C34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Numero" dataDxfId="46"/>
    <tableColumn id="2" xr3:uid="{00000000-0010-0000-0000-000002000000}" name="Tipo de urna" dataDxfId="45"/>
    <tableColumn id="3" xr3:uid="{00000000-0010-0000-0000-000003000000}" name="precio" dataDxfId="44" dataCellStyle="Moneda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E5:G12" totalsRowShown="0" headerRowDxfId="43" dataDxfId="42" tableBorderDxfId="41">
  <autoFilter ref="E5:G12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100-000001000000}" name="Numero" dataDxfId="40"/>
    <tableColumn id="2" xr3:uid="{00000000-0010-0000-0100-000002000000}" name="Convenios" dataDxfId="39"/>
    <tableColumn id="4" xr3:uid="{00000000-0010-0000-0100-000004000000}" name="Valor" dataDxfId="38">
      <calculatedColumnFormula>#REF!*$G$4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I5:J15" totalsRowShown="0" headerRowDxfId="37" dataDxfId="36">
  <autoFilter ref="I5:J15" xr:uid="{00000000-0009-0000-0100-000008000000}">
    <filterColumn colId="0" hiddenButton="1"/>
    <filterColumn colId="1" hiddenButton="1"/>
  </autoFilter>
  <tableColumns count="2">
    <tableColumn id="1" xr3:uid="{00000000-0010-0000-0200-000001000000}" name="Numero" dataDxfId="35"/>
    <tableColumn id="2" xr3:uid="{00000000-0010-0000-0200-000002000000}" name="Trabajadores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Servicios" displayName="Servicios" ref="A2:K4" totalsRowCount="1">
  <autoFilter ref="A2:K3" xr:uid="{00000000-0009-0000-0100-000003000000}"/>
  <tableColumns count="11">
    <tableColumn id="15" xr3:uid="{00000000-0010-0000-0300-00000F000000}" name="Nº Formulario" totalsRowFunction="countNums"/>
    <tableColumn id="1" xr3:uid="{00000000-0010-0000-0300-000001000000}" name="Fecha de servicio" dataDxfId="33" totalsRowDxfId="32"/>
    <tableColumn id="16" xr3:uid="{00000000-0010-0000-0300-000010000000}" name="Nombre Cliente"/>
    <tableColumn id="9" xr3:uid="{00000000-0010-0000-0300-000009000000}" name="Número telef."/>
    <tableColumn id="2" xr3:uid="{00000000-0010-0000-0300-000002000000}" name="Tipo de urna"/>
    <tableColumn id="3" xr3:uid="{00000000-0010-0000-0300-000003000000}" name="Color"/>
    <tableColumn id="8" xr3:uid="{00000000-0010-0000-0300-000008000000}" name="Lugar de retiro"/>
    <tableColumn id="4" xr3:uid="{00000000-0010-0000-0300-000004000000}" name="Lugar de servicio"/>
    <tableColumn id="5" xr3:uid="{00000000-0010-0000-0300-000005000000}" name="Cementerio"/>
    <tableColumn id="6" xr3:uid="{00000000-0010-0000-0300-000006000000}" name="Instalador"/>
    <tableColumn id="7" xr3:uid="{00000000-0010-0000-0300-000007000000}" name="Venta" totalsRowFunction="sum" totalsRowDxfId="31" dataCellStyle="Moneda [0]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Ventas" displayName="Ventas" ref="A2:J4" totalsRowCount="1">
  <autoFilter ref="A2:J3" xr:uid="{00000000-0009-0000-0100-000005000000}"/>
  <tableColumns count="10">
    <tableColumn id="12" xr3:uid="{00000000-0010-0000-0400-00000C000000}" name="Nº Formulario" totalsRowFunction="countNums"/>
    <tableColumn id="1" xr3:uid="{00000000-0010-0000-0400-000001000000}" name="Fecha de servicio" dataDxfId="30" totalsRowDxfId="29"/>
    <tableColumn id="2" xr3:uid="{00000000-0010-0000-0400-000002000000}" name="Tipo de urna"/>
    <tableColumn id="3" xr3:uid="{00000000-0010-0000-0400-000003000000}" name="Valor de servicio" totalsRowDxfId="28" dataCellStyle="Moneda [0]"/>
    <tableColumn id="4" xr3:uid="{00000000-0010-0000-0400-000004000000}" name="Valor adicional" totalsRowFunction="sum" totalsRowDxfId="27" dataCellStyle="Moneda [0]"/>
    <tableColumn id="6" xr3:uid="{00000000-0010-0000-0400-000006000000}" name="Total  " totalsRowFunction="sum" totalsRowDxfId="26" dataCellStyle="Moneda [0]"/>
    <tableColumn id="7" xr3:uid="{00000000-0010-0000-0400-000007000000}" name="Descuento" totalsRowFunction="sum" totalsRowDxfId="25" dataCellStyle="Moneda [0]"/>
    <tableColumn id="8" xr3:uid="{00000000-0010-0000-0400-000008000000}" name="Venta neta" totalsRowDxfId="24" dataCellStyle="Moneda [0]"/>
    <tableColumn id="9" xr3:uid="{00000000-0010-0000-0400-000009000000}" name="IVA" totalsRowFunction="sum" totalsRowDxfId="23" dataCellStyle="Moneda [0]"/>
    <tableColumn id="11" xr3:uid="{00000000-0010-0000-0400-00000B000000}" name="Venta total" totalsRowFunction="sum" totalsRowDxfId="22" dataCellStyle="Moneda [0]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A2:L4" totalsRowCount="1">
  <autoFilter ref="A2:L3" xr:uid="{00000000-0009-0000-0100-000006000000}"/>
  <tableColumns count="12">
    <tableColumn id="1" xr3:uid="{00000000-0010-0000-0500-000001000000}" name="Nº Formulario" totalsRowFunction="countNums"/>
    <tableColumn id="2" xr3:uid="{00000000-0010-0000-0500-000002000000}" name="Fecha" dataDxfId="21" totalsRowDxfId="9"/>
    <tableColumn id="3" xr3:uid="{00000000-0010-0000-0500-000003000000}" name="Venta Total" totalsRowFunction="sum" totalsRowDxfId="8" dataCellStyle="Moneda [0]"/>
    <tableColumn id="4" xr3:uid="{00000000-0010-0000-0500-000004000000}" name="Convenio" dataDxfId="20" totalsRowDxfId="7"/>
    <tableColumn id="5" xr3:uid="{00000000-0010-0000-0500-000005000000}" name="Valor" totalsRowFunction="sum" totalsRowDxfId="6" dataCellStyle="Moneda [0]"/>
    <tableColumn id="6" xr3:uid="{00000000-0010-0000-0500-000006000000}" name="Efectivo " totalsRowFunction="sum" totalsRowDxfId="5" dataCellStyle="Moneda [0]"/>
    <tableColumn id="7" xr3:uid="{00000000-0010-0000-0500-000007000000}" name="Tarjeta" totalsRowFunction="sum" totalsRowDxfId="4" dataCellStyle="Moneda [0]"/>
    <tableColumn id="10" xr3:uid="{00000000-0010-0000-0500-00000A000000}" name="Monto en Cuotas" totalsRowFunction="sum" totalsRowDxfId="3" dataCellStyle="Moneda [0]"/>
    <tableColumn id="11" xr3:uid="{00000000-0010-0000-0500-00000B000000}" name="Cuotas"/>
    <tableColumn id="8" xr3:uid="{00000000-0010-0000-0500-000008000000}" name="Valor Cheques" totalsRowFunction="sum" totalsRowDxfId="2" dataCellStyle="Moneda [0]"/>
    <tableColumn id="9" xr3:uid="{00000000-0010-0000-0500-000009000000}" name="Estado " dataDxfId="19" totalsRowDxfId="1"/>
    <tableColumn id="12" xr3:uid="{AA1B2DA3-147A-4240-92E0-496C2C8291C3}" name="Informacion adicional" totalsRowDxfId="0" dataCellStyle="Moneda [0]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7" displayName="Tabla7" ref="A2:F4" totalsRowCount="1">
  <autoFilter ref="A2:F3" xr:uid="{00000000-0009-0000-0100-000007000000}"/>
  <tableColumns count="6">
    <tableColumn id="1" xr3:uid="{00000000-0010-0000-0600-000001000000}" name="Nº Formulario" totalsRowFunction="countNums"/>
    <tableColumn id="2" xr3:uid="{00000000-0010-0000-0600-000002000000}" name="Monto" totalsRowFunction="sum" totalsRowDxfId="18" dataCellStyle="Moneda [0]"/>
    <tableColumn id="3" xr3:uid="{00000000-0010-0000-0600-000003000000}" name="Nº Documento"/>
    <tableColumn id="4" xr3:uid="{00000000-0010-0000-0600-000004000000}" name="Vencimiento" dataDxfId="17" totalsRowDxfId="16"/>
    <tableColumn id="5" xr3:uid="{00000000-0010-0000-0600-000005000000}" name="Dias restantes" dataDxfId="15" totalsRowDxfId="14"/>
    <tableColumn id="65522" xr3:uid="{00000000-0010-0000-0600-0000F2FF0000}" name="Estado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Tabla4" displayName="Tabla4" ref="A2:I4" totalsRowCount="1">
  <autoFilter ref="A2:I3" xr:uid="{00000000-0009-0000-0100-000004000000}"/>
  <tableColumns count="9">
    <tableColumn id="8" xr3:uid="{00000000-0010-0000-0700-000008000000}" name="Nº Formulario" totalsRowFunction="countNums"/>
    <tableColumn id="1" xr3:uid="{00000000-0010-0000-0700-000001000000}" name="Fecha de servicio" dataDxfId="13" totalsRowDxfId="12"/>
    <tableColumn id="2" xr3:uid="{00000000-0010-0000-0700-000002000000}" name="Nombre"/>
    <tableColumn id="3" xr3:uid="{00000000-0010-0000-0700-000003000000}" name="Sexo"/>
    <tableColumn id="4" xr3:uid="{00000000-0010-0000-0700-000004000000}" name="Edad" totalsRowFunction="average"/>
    <tableColumn id="7" xr3:uid="{00000000-0010-0000-0700-000007000000}" name="Rut"/>
    <tableColumn id="5" xr3:uid="{00000000-0010-0000-0700-000005000000}" name="Fecha defunsion " dataDxfId="11" totalsRowDxfId="10"/>
    <tableColumn id="6" xr3:uid="{00000000-0010-0000-0700-000006000000}" name="causa de muerte"/>
    <tableColumn id="32762" xr3:uid="{00000000-0010-0000-0700-0000FA7F0000}" name="Comuna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4.9989318521683403E-2"/>
  </sheetPr>
  <dimension ref="B1:U54"/>
  <sheetViews>
    <sheetView showGridLines="0" zoomScale="85" zoomScaleNormal="85" workbookViewId="0">
      <selection activeCell="H7" sqref="H7:I7"/>
    </sheetView>
  </sheetViews>
  <sheetFormatPr baseColWidth="10" defaultRowHeight="15" x14ac:dyDescent="0.25"/>
  <cols>
    <col min="1" max="1" width="2.5703125" style="6" customWidth="1"/>
    <col min="2" max="2" width="24.85546875" style="6" customWidth="1"/>
    <col min="3" max="3" width="13.5703125" style="6" customWidth="1"/>
    <col min="4" max="4" width="13.28515625" style="6" customWidth="1"/>
    <col min="5" max="5" width="14.42578125" style="6" customWidth="1"/>
    <col min="6" max="6" width="10.42578125" style="6" customWidth="1"/>
    <col min="7" max="7" width="19.28515625" style="6" customWidth="1"/>
    <col min="8" max="8" width="18.140625" style="6" customWidth="1"/>
    <col min="9" max="9" width="17.85546875" style="6" customWidth="1"/>
    <col min="10" max="10" width="15" style="6" customWidth="1"/>
    <col min="11" max="11" width="6" style="6" customWidth="1"/>
    <col min="12" max="12" width="11.42578125" style="30"/>
    <col min="13" max="13" width="11.42578125" style="30" hidden="1" customWidth="1"/>
    <col min="14" max="14" width="17.42578125" style="30" hidden="1" customWidth="1"/>
    <col min="15" max="17" width="11.42578125" style="30" hidden="1" customWidth="1"/>
    <col min="18" max="18" width="14.140625" style="30" customWidth="1"/>
    <col min="19" max="19" width="13.42578125" style="30" customWidth="1"/>
    <col min="20" max="20" width="12.5703125" style="30" customWidth="1"/>
    <col min="21" max="21" width="5.42578125" style="6" customWidth="1"/>
    <col min="22" max="16384" width="11.42578125" style="6"/>
  </cols>
  <sheetData>
    <row r="1" spans="2:19" ht="29.25" customHeight="1" thickBot="1" x14ac:dyDescent="0.45">
      <c r="B1" s="86" t="s">
        <v>95</v>
      </c>
      <c r="D1" s="35" t="s">
        <v>107</v>
      </c>
      <c r="E1" s="35"/>
    </row>
    <row r="2" spans="2:19" ht="14.25" customHeight="1" thickBot="1" x14ac:dyDescent="0.3">
      <c r="B2" s="5" t="s">
        <v>14</v>
      </c>
      <c r="C2" s="7"/>
      <c r="D2" s="7"/>
      <c r="E2" s="7"/>
      <c r="F2" s="7"/>
      <c r="G2" s="7"/>
      <c r="H2" s="7"/>
      <c r="I2" s="38"/>
      <c r="J2" s="29" t="s">
        <v>52</v>
      </c>
      <c r="K2" s="23"/>
      <c r="N2" s="31">
        <f>+I2</f>
        <v>0</v>
      </c>
      <c r="O2" s="30" t="s">
        <v>106</v>
      </c>
      <c r="R2" s="109" t="s">
        <v>82</v>
      </c>
      <c r="S2" s="109"/>
    </row>
    <row r="3" spans="2:19" ht="16.5" x14ac:dyDescent="0.3">
      <c r="B3" s="8" t="s">
        <v>0</v>
      </c>
      <c r="C3" s="112"/>
      <c r="D3" s="112"/>
      <c r="E3" s="7"/>
      <c r="F3" s="7"/>
      <c r="G3" s="8" t="s">
        <v>79</v>
      </c>
      <c r="H3" s="102"/>
      <c r="I3" s="102"/>
      <c r="J3" s="7"/>
      <c r="K3" s="7"/>
      <c r="N3" s="32">
        <f>C3</f>
        <v>0</v>
      </c>
      <c r="Q3" s="30">
        <v>7</v>
      </c>
      <c r="R3" s="109"/>
      <c r="S3" s="109"/>
    </row>
    <row r="4" spans="2:19" x14ac:dyDescent="0.25">
      <c r="B4" s="7"/>
      <c r="C4" s="7"/>
      <c r="D4" s="7"/>
      <c r="E4" s="7"/>
      <c r="F4" s="7"/>
      <c r="G4" s="7"/>
      <c r="H4" s="7"/>
      <c r="I4" s="7"/>
      <c r="J4" s="7"/>
      <c r="K4" s="7"/>
      <c r="N4" s="30">
        <f>+C5</f>
        <v>0</v>
      </c>
    </row>
    <row r="5" spans="2:19" ht="16.5" x14ac:dyDescent="0.3">
      <c r="B5" s="8" t="s">
        <v>59</v>
      </c>
      <c r="C5" s="99"/>
      <c r="D5" s="99"/>
      <c r="E5" s="99"/>
      <c r="F5" s="7"/>
      <c r="G5" s="8" t="s">
        <v>3</v>
      </c>
      <c r="H5" s="99"/>
      <c r="I5" s="99"/>
      <c r="J5" s="7"/>
      <c r="K5" s="7"/>
      <c r="N5" s="30">
        <f>+C7</f>
        <v>0</v>
      </c>
    </row>
    <row r="6" spans="2:19" x14ac:dyDescent="0.25">
      <c r="B6" s="7"/>
      <c r="C6" s="7"/>
      <c r="D6" s="7"/>
      <c r="E6" s="7"/>
      <c r="F6" s="7"/>
      <c r="G6" s="7"/>
      <c r="H6" s="7"/>
      <c r="I6" s="7"/>
      <c r="J6" s="7"/>
      <c r="K6" s="7"/>
      <c r="N6" s="30" t="str">
        <f>VLOOKUP(Q3,Tabla1[#All],2,FALSE)</f>
        <v>RAULI</v>
      </c>
    </row>
    <row r="7" spans="2:19" ht="16.5" x14ac:dyDescent="0.3">
      <c r="B7" s="8" t="s">
        <v>100</v>
      </c>
      <c r="C7" s="88"/>
      <c r="D7" s="10"/>
      <c r="E7" s="7"/>
      <c r="F7" s="7"/>
      <c r="G7" s="8" t="s">
        <v>4</v>
      </c>
      <c r="H7" s="99"/>
      <c r="I7" s="99"/>
      <c r="J7" s="7"/>
      <c r="K7" s="7"/>
      <c r="N7" s="30">
        <f>E9</f>
        <v>0</v>
      </c>
    </row>
    <row r="8" spans="2:19" x14ac:dyDescent="0.25">
      <c r="B8" s="7"/>
      <c r="C8" s="7"/>
      <c r="D8" s="7"/>
      <c r="E8" s="9" t="s">
        <v>65</v>
      </c>
      <c r="F8" s="7"/>
      <c r="G8" s="7"/>
      <c r="H8" s="7"/>
      <c r="I8" s="7"/>
      <c r="J8" s="7"/>
      <c r="K8" s="7"/>
      <c r="N8" s="30">
        <f>+H3</f>
        <v>0</v>
      </c>
    </row>
    <row r="9" spans="2:19" ht="16.5" x14ac:dyDescent="0.3">
      <c r="B9" s="8" t="s">
        <v>1</v>
      </c>
      <c r="C9" s="7"/>
      <c r="D9" s="7"/>
      <c r="E9" s="24"/>
      <c r="F9" s="10"/>
      <c r="G9" s="8" t="s">
        <v>5</v>
      </c>
      <c r="H9" s="111"/>
      <c r="I9" s="111"/>
      <c r="J9" s="7"/>
      <c r="K9" s="7"/>
      <c r="N9" s="30">
        <f>H5</f>
        <v>0</v>
      </c>
    </row>
    <row r="10" spans="2:19" x14ac:dyDescent="0.25">
      <c r="B10" s="7"/>
      <c r="C10" s="7"/>
      <c r="D10" s="7"/>
      <c r="E10" s="7"/>
      <c r="F10" s="7"/>
      <c r="G10" s="7"/>
      <c r="H10" s="7"/>
      <c r="I10" s="7"/>
      <c r="J10" s="7"/>
      <c r="K10" s="7"/>
      <c r="N10" s="30">
        <f>H7</f>
        <v>0</v>
      </c>
      <c r="Q10" s="30">
        <v>1</v>
      </c>
    </row>
    <row r="11" spans="2:19" x14ac:dyDescent="0.25">
      <c r="B11" s="5" t="s">
        <v>19</v>
      </c>
      <c r="J11" s="11"/>
      <c r="K11" s="11"/>
      <c r="N11" s="30" t="str">
        <f>+VLOOKUP(Q10,Tabla8[],2,FALSE)</f>
        <v>ANDRES PEREZ</v>
      </c>
    </row>
    <row r="12" spans="2:19" ht="12.95" customHeight="1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N12" s="33">
        <f>H18</f>
        <v>1904000</v>
      </c>
    </row>
    <row r="13" spans="2:19" ht="16.5" x14ac:dyDescent="0.3">
      <c r="B13" s="8" t="s">
        <v>43</v>
      </c>
      <c r="C13" s="110">
        <f>+VLOOKUP(Q3,VALORES!A5:C34,3,FALSE)</f>
        <v>1600000</v>
      </c>
      <c r="D13" s="110"/>
      <c r="E13" s="7"/>
      <c r="F13" s="7"/>
      <c r="G13" s="7"/>
      <c r="H13" s="7"/>
      <c r="I13" s="7"/>
      <c r="J13" s="7"/>
      <c r="K13" s="7"/>
      <c r="N13" s="31">
        <f>I2</f>
        <v>0</v>
      </c>
      <c r="O13" s="30" t="s">
        <v>105</v>
      </c>
    </row>
    <row r="14" spans="2:19" ht="16.5" x14ac:dyDescent="0.3">
      <c r="B14" s="7"/>
      <c r="C14" s="9"/>
      <c r="D14" s="9"/>
      <c r="E14" s="7"/>
      <c r="F14" s="7"/>
      <c r="G14" s="8" t="s">
        <v>22</v>
      </c>
      <c r="H14" s="12">
        <f>C17-C19</f>
        <v>1600000</v>
      </c>
      <c r="I14" s="7"/>
      <c r="J14" s="13"/>
      <c r="K14" s="7"/>
      <c r="M14" s="30">
        <v>2</v>
      </c>
      <c r="N14" s="32">
        <f>C3</f>
        <v>0</v>
      </c>
    </row>
    <row r="15" spans="2:19" ht="16.5" x14ac:dyDescent="0.3">
      <c r="B15" s="8" t="s">
        <v>20</v>
      </c>
      <c r="C15" s="100"/>
      <c r="D15" s="100"/>
      <c r="E15" s="9"/>
      <c r="F15" s="7"/>
      <c r="G15" s="7"/>
      <c r="H15" s="9"/>
      <c r="I15" s="7"/>
      <c r="J15" s="7"/>
      <c r="K15" s="7"/>
      <c r="N15" s="30" t="str">
        <f>VLOOKUP(Q3,Tabla1[#All],2,FALSE)</f>
        <v>RAULI</v>
      </c>
    </row>
    <row r="16" spans="2:19" ht="16.5" x14ac:dyDescent="0.3">
      <c r="B16" s="7"/>
      <c r="C16" s="9"/>
      <c r="D16" s="9"/>
      <c r="E16" s="9"/>
      <c r="F16" s="7"/>
      <c r="G16" s="8" t="s">
        <v>30</v>
      </c>
      <c r="H16" s="14">
        <f>H14*0.19</f>
        <v>304000</v>
      </c>
      <c r="I16" s="7"/>
      <c r="J16" s="7"/>
      <c r="K16" s="7"/>
      <c r="N16" s="33">
        <f>C13</f>
        <v>1600000</v>
      </c>
    </row>
    <row r="17" spans="2:21" ht="17.25" thickBot="1" x14ac:dyDescent="0.35">
      <c r="B17" s="15" t="s">
        <v>6</v>
      </c>
      <c r="C17" s="110">
        <f>C13+C15</f>
        <v>1600000</v>
      </c>
      <c r="D17" s="110"/>
      <c r="E17" s="7"/>
      <c r="F17" s="7"/>
      <c r="G17" s="7"/>
      <c r="H17" s="16"/>
      <c r="I17" s="7"/>
      <c r="J17" s="7"/>
      <c r="K17" s="7"/>
      <c r="N17" s="33">
        <f>C15</f>
        <v>0</v>
      </c>
      <c r="R17" s="103" t="s">
        <v>83</v>
      </c>
      <c r="S17" s="104"/>
    </row>
    <row r="18" spans="2:21" ht="17.25" thickBot="1" x14ac:dyDescent="0.35">
      <c r="B18" s="7"/>
      <c r="C18" s="7"/>
      <c r="D18" s="7"/>
      <c r="E18" s="7"/>
      <c r="F18" s="7"/>
      <c r="G18" s="17" t="s">
        <v>23</v>
      </c>
      <c r="H18" s="18">
        <f>H14*1.19</f>
        <v>1904000</v>
      </c>
      <c r="I18" s="7"/>
      <c r="J18" s="7"/>
      <c r="K18" s="7"/>
      <c r="N18" s="33">
        <f>C17</f>
        <v>1600000</v>
      </c>
      <c r="R18" s="105"/>
      <c r="S18" s="106"/>
    </row>
    <row r="19" spans="2:21" ht="16.5" x14ac:dyDescent="0.3">
      <c r="B19" s="8" t="s">
        <v>37</v>
      </c>
      <c r="C19" s="100"/>
      <c r="D19" s="100"/>
      <c r="E19" s="19">
        <f>(C19*100)/C17</f>
        <v>0</v>
      </c>
      <c r="F19" s="20" t="s">
        <v>38</v>
      </c>
      <c r="G19" s="7"/>
      <c r="H19" s="7"/>
      <c r="I19" s="7"/>
      <c r="J19" s="7"/>
      <c r="K19" s="7"/>
      <c r="N19" s="33">
        <f>C19</f>
        <v>0</v>
      </c>
      <c r="R19" s="105"/>
      <c r="S19" s="106"/>
    </row>
    <row r="20" spans="2:21" ht="12.95" customHeight="1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N20" s="33">
        <f>H14</f>
        <v>1600000</v>
      </c>
      <c r="R20" s="107"/>
      <c r="S20" s="108"/>
    </row>
    <row r="21" spans="2:21" x14ac:dyDescent="0.25">
      <c r="B21" s="5" t="s">
        <v>44</v>
      </c>
      <c r="C21" s="11"/>
      <c r="D21" s="11"/>
      <c r="E21" s="11"/>
      <c r="F21" s="11"/>
      <c r="G21" s="11"/>
      <c r="H21" s="11"/>
      <c r="I21" s="11"/>
      <c r="J21" s="11"/>
      <c r="K21" s="11"/>
      <c r="N21" s="33">
        <f>H16</f>
        <v>304000</v>
      </c>
    </row>
    <row r="22" spans="2:21" ht="12.95" customHeight="1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33"/>
      <c r="N22" s="33">
        <f>H18</f>
        <v>1904000</v>
      </c>
    </row>
    <row r="23" spans="2:21" ht="16.5" x14ac:dyDescent="0.3">
      <c r="B23" s="8" t="s">
        <v>21</v>
      </c>
      <c r="C23" s="7"/>
      <c r="D23" s="7"/>
      <c r="E23" s="7"/>
      <c r="F23" s="40" t="s">
        <v>47</v>
      </c>
      <c r="G23" s="21" t="s">
        <v>48</v>
      </c>
      <c r="H23" s="21" t="s">
        <v>58</v>
      </c>
      <c r="I23" s="21" t="s">
        <v>49</v>
      </c>
      <c r="J23" s="7"/>
      <c r="K23" s="7"/>
      <c r="M23" s="30">
        <v>1</v>
      </c>
      <c r="N23" s="33"/>
      <c r="R23" s="95" t="s">
        <v>89</v>
      </c>
      <c r="S23" s="95"/>
      <c r="T23" s="95"/>
      <c r="U23" s="95"/>
    </row>
    <row r="24" spans="2:21" ht="16.5" customHeight="1" x14ac:dyDescent="0.3">
      <c r="B24" s="7"/>
      <c r="C24" s="101">
        <f>VLOOKUP(M14,VALORES!E6:G12,3,FALSE)</f>
        <v>350000</v>
      </c>
      <c r="D24" s="101"/>
      <c r="E24" s="7"/>
      <c r="F24" s="40" t="s">
        <v>53</v>
      </c>
      <c r="G24" s="25"/>
      <c r="H24" s="26"/>
      <c r="I24" s="84"/>
      <c r="J24" s="7"/>
      <c r="K24" s="7"/>
      <c r="N24" s="33"/>
      <c r="R24" s="53"/>
      <c r="S24" s="54"/>
      <c r="T24" s="57" t="s">
        <v>86</v>
      </c>
      <c r="U24" s="43"/>
    </row>
    <row r="25" spans="2:21" ht="16.5" x14ac:dyDescent="0.3">
      <c r="B25" s="7"/>
      <c r="C25" s="9"/>
      <c r="D25" s="9"/>
      <c r="E25" s="7"/>
      <c r="F25" s="40" t="s">
        <v>54</v>
      </c>
      <c r="G25" s="25"/>
      <c r="H25" s="26"/>
      <c r="I25" s="85"/>
      <c r="J25" s="7"/>
      <c r="K25" s="7"/>
      <c r="N25" s="31">
        <f>I2</f>
        <v>0</v>
      </c>
      <c r="O25" s="30" t="s">
        <v>104</v>
      </c>
      <c r="Q25" s="34" t="s">
        <v>78</v>
      </c>
      <c r="R25" s="55" t="s">
        <v>87</v>
      </c>
      <c r="S25" s="51">
        <f>+I30</f>
        <v>1554000</v>
      </c>
      <c r="T25" s="42"/>
      <c r="U25" s="44"/>
    </row>
    <row r="26" spans="2:21" ht="16.5" x14ac:dyDescent="0.3">
      <c r="B26" s="8" t="s">
        <v>45</v>
      </c>
      <c r="C26" s="100"/>
      <c r="D26" s="100"/>
      <c r="E26" s="7"/>
      <c r="F26" s="40" t="s">
        <v>55</v>
      </c>
      <c r="G26" s="25"/>
      <c r="H26" s="26"/>
      <c r="I26" s="85"/>
      <c r="J26" s="7"/>
      <c r="K26" s="7"/>
      <c r="N26" s="32">
        <f>C3</f>
        <v>0</v>
      </c>
      <c r="Q26" s="34" t="s">
        <v>77</v>
      </c>
      <c r="R26" s="56"/>
      <c r="S26" s="23"/>
      <c r="T26" s="58"/>
      <c r="U26" s="44"/>
    </row>
    <row r="27" spans="2:21" ht="16.5" x14ac:dyDescent="0.3">
      <c r="B27" s="8"/>
      <c r="C27" s="7"/>
      <c r="D27" s="7"/>
      <c r="E27" s="7"/>
      <c r="F27" s="40" t="s">
        <v>56</v>
      </c>
      <c r="G27" s="25"/>
      <c r="H27" s="26"/>
      <c r="I27" s="85"/>
      <c r="J27" s="7"/>
      <c r="K27" s="7"/>
      <c r="N27" s="33">
        <f>H18</f>
        <v>1904000</v>
      </c>
      <c r="R27" s="55" t="s">
        <v>88</v>
      </c>
      <c r="S27" s="52" t="e">
        <f>+S25/T25</f>
        <v>#DIV/0!</v>
      </c>
      <c r="T27" s="23"/>
      <c r="U27" s="44"/>
    </row>
    <row r="28" spans="2:21" ht="17.25" thickBot="1" x14ac:dyDescent="0.35">
      <c r="B28" s="8" t="s">
        <v>46</v>
      </c>
      <c r="C28" s="100"/>
      <c r="D28" s="100"/>
      <c r="E28" s="7"/>
      <c r="F28" s="40" t="s">
        <v>57</v>
      </c>
      <c r="G28" s="27"/>
      <c r="H28" s="26"/>
      <c r="I28" s="85"/>
      <c r="J28" s="7"/>
      <c r="K28" s="7"/>
      <c r="N28" s="30" t="str">
        <f>VLOOKUP(M14,Tabla2[],2,FALSE)</f>
        <v>DIPRECA</v>
      </c>
      <c r="Q28" s="31">
        <f>+I2</f>
        <v>0</v>
      </c>
      <c r="R28" s="61"/>
      <c r="S28" s="60"/>
      <c r="T28" s="59"/>
      <c r="U28" s="46"/>
    </row>
    <row r="29" spans="2:21" ht="16.5" thickBot="1" x14ac:dyDescent="0.3">
      <c r="B29" s="7"/>
      <c r="C29" s="39" t="s">
        <v>48</v>
      </c>
      <c r="D29" s="39" t="s">
        <v>86</v>
      </c>
      <c r="E29" s="7"/>
      <c r="F29" s="41" t="s">
        <v>23</v>
      </c>
      <c r="G29" s="36">
        <f>SUBTOTAL(9,G24:G28)</f>
        <v>0</v>
      </c>
      <c r="H29" s="7"/>
      <c r="I29" s="7"/>
      <c r="J29" s="7"/>
      <c r="K29" s="7"/>
      <c r="N29" s="33">
        <f>C24</f>
        <v>350000</v>
      </c>
      <c r="Q29" s="33">
        <f>+G25</f>
        <v>0</v>
      </c>
      <c r="R29" s="96" t="s">
        <v>91</v>
      </c>
      <c r="S29" s="97"/>
      <c r="T29" s="97"/>
      <c r="U29" s="98"/>
    </row>
    <row r="30" spans="2:21" ht="17.25" thickBot="1" x14ac:dyDescent="0.35">
      <c r="B30" s="8" t="s">
        <v>85</v>
      </c>
      <c r="C30" s="71"/>
      <c r="D30" s="72"/>
      <c r="E30" s="7"/>
      <c r="F30" s="7"/>
      <c r="G30" s="7"/>
      <c r="H30" s="8" t="s">
        <v>50</v>
      </c>
      <c r="I30" s="22">
        <f>(H18-C24-C26-C28-G24-G25-G26-G27-G28)-C30</f>
        <v>1554000</v>
      </c>
      <c r="J30" s="7"/>
      <c r="K30" s="7"/>
      <c r="N30" s="33">
        <f>C26</f>
        <v>0</v>
      </c>
      <c r="Q30" s="31">
        <f>+H25</f>
        <v>0</v>
      </c>
      <c r="R30" s="55" t="s">
        <v>90</v>
      </c>
      <c r="S30" s="23"/>
      <c r="T30" s="47"/>
      <c r="U30" s="44"/>
    </row>
    <row r="31" spans="2:21" ht="12.95" customHeight="1" x14ac:dyDescent="0.25">
      <c r="B31" s="7"/>
      <c r="C31" s="7"/>
      <c r="D31" s="7"/>
      <c r="E31" s="7"/>
      <c r="F31" s="7"/>
      <c r="G31" s="7"/>
      <c r="H31" s="7"/>
      <c r="I31" s="23"/>
      <c r="J31" s="23"/>
      <c r="K31" s="7"/>
      <c r="N31" s="33">
        <f>C28</f>
        <v>0</v>
      </c>
      <c r="O31" s="30">
        <v>3</v>
      </c>
      <c r="Q31" s="32">
        <f>+I25</f>
        <v>0</v>
      </c>
      <c r="R31" s="62" t="s">
        <v>86</v>
      </c>
      <c r="S31" s="23"/>
      <c r="T31" s="23"/>
      <c r="U31" s="44"/>
    </row>
    <row r="32" spans="2:21" x14ac:dyDescent="0.25">
      <c r="B32" s="5" t="s">
        <v>51</v>
      </c>
      <c r="N32" s="33">
        <f>+C30</f>
        <v>0</v>
      </c>
      <c r="Q32" s="30">
        <f ca="1">+Q31-+TODAY()</f>
        <v>-44431</v>
      </c>
      <c r="R32" s="48"/>
      <c r="S32" s="63" t="s">
        <v>92</v>
      </c>
      <c r="T32" s="66" t="e">
        <f>+T30/R32</f>
        <v>#DIV/0!</v>
      </c>
      <c r="U32" s="44"/>
    </row>
    <row r="33" spans="2:21" ht="12.95" customHeight="1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N33" s="30">
        <f>+D30</f>
        <v>0</v>
      </c>
      <c r="Q33" s="30" t="str">
        <f ca="1">+IF(Q32&lt;0,"Plazo Vencido","Plazo Vigente")</f>
        <v>Plazo Vencido</v>
      </c>
      <c r="R33" s="64"/>
      <c r="S33" s="65"/>
      <c r="T33" s="65"/>
      <c r="U33" s="45"/>
    </row>
    <row r="34" spans="2:21" ht="16.5" x14ac:dyDescent="0.3">
      <c r="B34" s="8" t="s">
        <v>8</v>
      </c>
      <c r="C34" s="99"/>
      <c r="D34" s="99"/>
      <c r="E34" s="99"/>
      <c r="F34" s="7"/>
      <c r="G34" s="8" t="s">
        <v>11</v>
      </c>
      <c r="H34" s="28"/>
      <c r="I34" s="7"/>
      <c r="J34" s="7"/>
      <c r="K34" s="7"/>
      <c r="N34" s="50">
        <f>G29</f>
        <v>0</v>
      </c>
    </row>
    <row r="35" spans="2:21" ht="12.95" customHeight="1" x14ac:dyDescent="0.25">
      <c r="B35" s="7"/>
      <c r="C35" s="7"/>
      <c r="D35" s="7"/>
      <c r="E35" s="7" t="s">
        <v>81</v>
      </c>
      <c r="F35" s="7"/>
      <c r="G35" s="7"/>
      <c r="H35" s="7"/>
      <c r="I35" s="7"/>
      <c r="J35" s="7"/>
      <c r="K35" s="7"/>
      <c r="N35" s="30" t="str">
        <f>IF(I30=0,"PAGADO","PENDIENTE")</f>
        <v>PENDIENTE</v>
      </c>
      <c r="Q35" s="31">
        <f>+I2</f>
        <v>0</v>
      </c>
    </row>
    <row r="36" spans="2:21" ht="16.5" x14ac:dyDescent="0.3">
      <c r="B36" s="8" t="s">
        <v>9</v>
      </c>
      <c r="C36" s="102" t="s">
        <v>78</v>
      </c>
      <c r="D36" s="102"/>
      <c r="E36" s="7"/>
      <c r="F36" s="7"/>
      <c r="G36" s="8" t="s">
        <v>12</v>
      </c>
      <c r="H36" s="99"/>
      <c r="I36" s="99"/>
      <c r="J36" s="7"/>
      <c r="K36" s="7"/>
      <c r="N36" s="31">
        <f>I2</f>
        <v>0</v>
      </c>
      <c r="O36" s="30" t="s">
        <v>103</v>
      </c>
      <c r="Q36" s="33">
        <f>+G26</f>
        <v>0</v>
      </c>
    </row>
    <row r="37" spans="2:21" ht="12.95" customHeight="1" x14ac:dyDescent="0.25">
      <c r="B37" s="7"/>
      <c r="C37" s="7"/>
      <c r="D37" s="7"/>
      <c r="E37" s="7"/>
      <c r="F37" s="7"/>
      <c r="G37" s="7"/>
      <c r="H37" s="7"/>
      <c r="I37" s="7"/>
      <c r="J37" s="7"/>
      <c r="K37" s="7"/>
      <c r="N37" s="32">
        <f>C3</f>
        <v>0</v>
      </c>
      <c r="Q37" s="31">
        <f>+H26</f>
        <v>0</v>
      </c>
    </row>
    <row r="38" spans="2:21" ht="16.5" x14ac:dyDescent="0.3">
      <c r="B38" s="8" t="s">
        <v>10</v>
      </c>
      <c r="C38" s="24"/>
      <c r="D38" s="40" t="s">
        <v>96</v>
      </c>
      <c r="E38" s="88"/>
      <c r="F38" s="7"/>
      <c r="G38" s="8" t="s">
        <v>13</v>
      </c>
      <c r="H38" s="24"/>
      <c r="I38" s="7"/>
      <c r="J38" s="7"/>
      <c r="K38" s="7"/>
      <c r="N38" s="30">
        <f>C34</f>
        <v>0</v>
      </c>
      <c r="Q38" s="32">
        <f>+I26</f>
        <v>0</v>
      </c>
    </row>
    <row r="39" spans="2:21" x14ac:dyDescent="0.25">
      <c r="B39" s="7"/>
      <c r="C39" s="7"/>
      <c r="D39" s="7"/>
      <c r="E39" s="7"/>
      <c r="F39" s="7"/>
      <c r="G39" s="7"/>
      <c r="H39" s="7"/>
      <c r="I39" s="7"/>
      <c r="J39" s="7"/>
      <c r="K39" s="7"/>
      <c r="N39" s="30" t="str">
        <f>+C36</f>
        <v>Masculino</v>
      </c>
      <c r="Q39" s="30">
        <f ca="1">+Q38-+TODAY()</f>
        <v>-44431</v>
      </c>
    </row>
    <row r="40" spans="2:21" x14ac:dyDescent="0.25">
      <c r="B40" s="7"/>
      <c r="C40" s="7"/>
      <c r="D40" s="7"/>
      <c r="E40" s="7"/>
      <c r="F40" s="7"/>
      <c r="G40" s="7"/>
      <c r="H40" s="7"/>
      <c r="I40" s="7"/>
      <c r="J40" s="7"/>
      <c r="K40" s="7"/>
      <c r="N40" s="30">
        <f>C38</f>
        <v>0</v>
      </c>
      <c r="Q40" s="30" t="str">
        <f ca="1">+IF(Q39&lt;0,"Plazo Vencido","Plazo Vigente")</f>
        <v>Plazo Vencido</v>
      </c>
    </row>
    <row r="41" spans="2:21" x14ac:dyDescent="0.25">
      <c r="B41" s="7"/>
      <c r="C41" s="7"/>
      <c r="D41" s="7"/>
      <c r="E41" s="7"/>
      <c r="F41" s="7"/>
      <c r="G41" s="7"/>
      <c r="H41" s="7"/>
      <c r="I41" s="7"/>
      <c r="J41" s="7"/>
      <c r="K41" s="7"/>
      <c r="N41" s="30">
        <f>+E38</f>
        <v>0</v>
      </c>
    </row>
    <row r="42" spans="2:21" x14ac:dyDescent="0.25">
      <c r="N42" s="32">
        <f>H34</f>
        <v>0</v>
      </c>
      <c r="Q42" s="31">
        <f>+I2</f>
        <v>0</v>
      </c>
    </row>
    <row r="43" spans="2:21" x14ac:dyDescent="0.25">
      <c r="N43" s="30">
        <f>H36</f>
        <v>0</v>
      </c>
      <c r="Q43" s="33">
        <f>+G27</f>
        <v>0</v>
      </c>
    </row>
    <row r="44" spans="2:21" x14ac:dyDescent="0.25">
      <c r="N44" s="30">
        <f>H38</f>
        <v>0</v>
      </c>
      <c r="Q44" s="31">
        <f>+H27</f>
        <v>0</v>
      </c>
    </row>
    <row r="45" spans="2:21" x14ac:dyDescent="0.25">
      <c r="N45" s="31">
        <f>I2</f>
        <v>0</v>
      </c>
      <c r="O45" s="30" t="s">
        <v>102</v>
      </c>
      <c r="Q45" s="32">
        <f>+I27</f>
        <v>0</v>
      </c>
    </row>
    <row r="46" spans="2:21" x14ac:dyDescent="0.25">
      <c r="N46" s="33">
        <f>G24</f>
        <v>0</v>
      </c>
      <c r="Q46" s="30">
        <f ca="1">+Q45-+TODAY()</f>
        <v>-44431</v>
      </c>
    </row>
    <row r="47" spans="2:21" x14ac:dyDescent="0.25">
      <c r="N47" s="31">
        <f>H24</f>
        <v>0</v>
      </c>
      <c r="Q47" s="30" t="str">
        <f ca="1">+IF(Q46&lt;0,"Plazo Vencido","Plazo Vigente")</f>
        <v>Plazo Vencido</v>
      </c>
    </row>
    <row r="48" spans="2:21" x14ac:dyDescent="0.25">
      <c r="N48" s="32">
        <f>I24</f>
        <v>0</v>
      </c>
    </row>
    <row r="49" spans="14:17" x14ac:dyDescent="0.25">
      <c r="N49" s="30">
        <f ca="1">+N48-+TODAY()</f>
        <v>-44431</v>
      </c>
      <c r="Q49" s="31">
        <f>+I2</f>
        <v>0</v>
      </c>
    </row>
    <row r="50" spans="14:17" x14ac:dyDescent="0.25">
      <c r="N50" s="30" t="str">
        <f ca="1">+IF(N49&lt;0,"Plazo Vencido","Valor Vigente")</f>
        <v>Plazo Vencido</v>
      </c>
      <c r="Q50" s="33">
        <f>+G28</f>
        <v>0</v>
      </c>
    </row>
    <row r="51" spans="14:17" x14ac:dyDescent="0.25">
      <c r="Q51" s="31">
        <f>+H28</f>
        <v>0</v>
      </c>
    </row>
    <row r="52" spans="14:17" x14ac:dyDescent="0.25">
      <c r="Q52" s="32">
        <f>+I28</f>
        <v>0</v>
      </c>
    </row>
    <row r="53" spans="14:17" x14ac:dyDescent="0.25">
      <c r="Q53" s="30">
        <f ca="1">+Q52-+TODAY()</f>
        <v>-44431</v>
      </c>
    </row>
    <row r="54" spans="14:17" x14ac:dyDescent="0.25">
      <c r="Q54" s="30" t="str">
        <f ca="1">+IF(Q53&lt;0,"Plazo Vencido","Plazo Vigente")</f>
        <v>Plazo Vencido</v>
      </c>
    </row>
  </sheetData>
  <sheetProtection selectLockedCells="1"/>
  <dataConsolidate/>
  <mergeCells count="20">
    <mergeCell ref="R17:S20"/>
    <mergeCell ref="R2:S3"/>
    <mergeCell ref="C15:D15"/>
    <mergeCell ref="C13:D13"/>
    <mergeCell ref="H9:I9"/>
    <mergeCell ref="C19:D19"/>
    <mergeCell ref="C17:D17"/>
    <mergeCell ref="C3:D3"/>
    <mergeCell ref="C5:E5"/>
    <mergeCell ref="H5:I5"/>
    <mergeCell ref="H7:I7"/>
    <mergeCell ref="H3:I3"/>
    <mergeCell ref="R23:U23"/>
    <mergeCell ref="R29:U29"/>
    <mergeCell ref="H36:I36"/>
    <mergeCell ref="C34:E34"/>
    <mergeCell ref="C26:D26"/>
    <mergeCell ref="C24:D24"/>
    <mergeCell ref="C28:D28"/>
    <mergeCell ref="C36:D36"/>
  </mergeCells>
  <dataValidations count="1">
    <dataValidation type="list" allowBlank="1" showInputMessage="1" showErrorMessage="1" sqref="C36:D36" xr:uid="{00000000-0002-0000-0000-000000000000}">
      <formula1>$Q$25:$Q$26</formula1>
    </dataValidation>
  </dataValidations>
  <pageMargins left="7.874015748031496E-2" right="7.874015748031496E-2" top="0.15748031496062992" bottom="0.15748031496062992" header="0.31496062992125984" footer="0.31496062992125984"/>
  <pageSetup orientation="landscape" cellComments="atEnd" r:id="rId1"/>
  <ignoredErrors>
    <ignoredError sqref="S25 S27 T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Drop Down 16">
              <controlPr defaultSize="0" autoLine="0" autoPict="0">
                <anchor moveWithCells="1">
                  <from>
                    <xdr:col>1</xdr:col>
                    <xdr:colOff>1581150</xdr:colOff>
                    <xdr:row>7</xdr:row>
                    <xdr:rowOff>171450</xdr:rowOff>
                  </from>
                  <to>
                    <xdr:col>4</xdr:col>
                    <xdr:colOff>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Drop Down 17">
              <controlPr defaultSize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1628775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Borrar_datos_formularios">
                <anchor moveWithCells="1" sizeWithCells="1">
                  <from>
                    <xdr:col>9</xdr:col>
                    <xdr:colOff>142875</xdr:colOff>
                    <xdr:row>35</xdr:row>
                    <xdr:rowOff>76200</xdr:rowOff>
                  </from>
                  <to>
                    <xdr:col>10</xdr:col>
                    <xdr:colOff>276225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Registrar_Datos">
                <anchor moveWithCells="1" sizeWithCells="1">
                  <from>
                    <xdr:col>9</xdr:col>
                    <xdr:colOff>142875</xdr:colOff>
                    <xdr:row>38</xdr:row>
                    <xdr:rowOff>19050</xdr:rowOff>
                  </from>
                  <to>
                    <xdr:col>10</xdr:col>
                    <xdr:colOff>285750</xdr:colOff>
                    <xdr:row>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Drop Down 20">
              <controlPr defaultSize="0" autoLine="0" autoPict="0">
                <anchor moveWithCells="1">
                  <from>
                    <xdr:col>6</xdr:col>
                    <xdr:colOff>1285875</xdr:colOff>
                    <xdr:row>7</xdr:row>
                    <xdr:rowOff>152400</xdr:rowOff>
                  </from>
                  <to>
                    <xdr:col>9</xdr:col>
                    <xdr:colOff>9525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heque_n2">
                <anchor moveWithCells="1" sizeWithCells="1">
                  <from>
                    <xdr:col>9</xdr:col>
                    <xdr:colOff>104775</xdr:colOff>
                    <xdr:row>24</xdr:row>
                    <xdr:rowOff>9525</xdr:rowOff>
                  </from>
                  <to>
                    <xdr:col>10</xdr:col>
                    <xdr:colOff>266700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Cheque_n3">
                <anchor moveWithCells="1" sizeWithCells="1">
                  <from>
                    <xdr:col>9</xdr:col>
                    <xdr:colOff>104775</xdr:colOff>
                    <xdr:row>25</xdr:row>
                    <xdr:rowOff>19050</xdr:rowOff>
                  </from>
                  <to>
                    <xdr:col>10</xdr:col>
                    <xdr:colOff>266700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Cheque_n4">
                <anchor moveWithCells="1" sizeWithCells="1">
                  <from>
                    <xdr:col>9</xdr:col>
                    <xdr:colOff>104775</xdr:colOff>
                    <xdr:row>26</xdr:row>
                    <xdr:rowOff>47625</xdr:rowOff>
                  </from>
                  <to>
                    <xdr:col>10</xdr:col>
                    <xdr:colOff>266700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2" name="Button 32">
              <controlPr defaultSize="0" print="0" autoFill="0" autoPict="0" macro="[0]!Cheque_n5">
                <anchor moveWithCells="1" sizeWithCells="1">
                  <from>
                    <xdr:col>9</xdr:col>
                    <xdr:colOff>104775</xdr:colOff>
                    <xdr:row>27</xdr:row>
                    <xdr:rowOff>57150</xdr:rowOff>
                  </from>
                  <to>
                    <xdr:col>10</xdr:col>
                    <xdr:colOff>266700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5"/>
  </sheetPr>
  <dimension ref="A2:J34"/>
  <sheetViews>
    <sheetView workbookViewId="0">
      <selection activeCell="C10" sqref="C10"/>
    </sheetView>
  </sheetViews>
  <sheetFormatPr baseColWidth="10" defaultRowHeight="15" x14ac:dyDescent="0.25"/>
  <cols>
    <col min="1" max="1" width="12" style="6" customWidth="1"/>
    <col min="2" max="2" width="29.5703125" style="6" customWidth="1"/>
    <col min="3" max="4" width="11.42578125" style="6"/>
    <col min="5" max="5" width="12.85546875" style="6" customWidth="1"/>
    <col min="6" max="6" width="17" style="6" customWidth="1"/>
    <col min="7" max="7" width="13.140625" style="6" customWidth="1"/>
    <col min="8" max="8" width="11.42578125" style="6"/>
    <col min="9" max="9" width="12" style="6" customWidth="1"/>
    <col min="10" max="10" width="18.85546875" style="6" customWidth="1"/>
    <col min="11" max="16384" width="11.42578125" style="6"/>
  </cols>
  <sheetData>
    <row r="2" spans="1:10" ht="15.75" thickBot="1" x14ac:dyDescent="0.3">
      <c r="E2" s="90" t="s">
        <v>97</v>
      </c>
      <c r="F2" s="92"/>
      <c r="G2" s="90" t="s">
        <v>99</v>
      </c>
    </row>
    <row r="3" spans="1:10" ht="15.75" thickBot="1" x14ac:dyDescent="0.3">
      <c r="E3" s="90" t="s">
        <v>98</v>
      </c>
      <c r="F3" s="93"/>
      <c r="G3" s="91">
        <f>+F2*F3</f>
        <v>0</v>
      </c>
    </row>
    <row r="4" spans="1:10" x14ac:dyDescent="0.25">
      <c r="A4" s="6" t="s">
        <v>93</v>
      </c>
      <c r="B4" s="68" t="s">
        <v>1</v>
      </c>
      <c r="C4" s="69" t="s">
        <v>16</v>
      </c>
      <c r="G4" s="89"/>
    </row>
    <row r="5" spans="1:10" ht="15.75" x14ac:dyDescent="0.25">
      <c r="A5" s="6">
        <v>1</v>
      </c>
      <c r="B5" s="74" t="s">
        <v>24</v>
      </c>
      <c r="C5" s="75">
        <v>550000</v>
      </c>
      <c r="E5" s="6" t="s">
        <v>93</v>
      </c>
      <c r="F5" s="68" t="s">
        <v>2</v>
      </c>
      <c r="G5" s="68" t="s">
        <v>68</v>
      </c>
      <c r="I5" s="6" t="s">
        <v>93</v>
      </c>
      <c r="J5" s="6" t="s">
        <v>72</v>
      </c>
    </row>
    <row r="6" spans="1:10" ht="15.75" x14ac:dyDescent="0.25">
      <c r="A6" s="6">
        <v>2</v>
      </c>
      <c r="B6" s="74" t="s">
        <v>25</v>
      </c>
      <c r="C6" s="75">
        <v>600000</v>
      </c>
      <c r="E6" s="6">
        <v>1</v>
      </c>
      <c r="F6" s="78" t="s">
        <v>17</v>
      </c>
      <c r="G6" s="75">
        <v>300000</v>
      </c>
      <c r="I6" s="6">
        <v>1</v>
      </c>
      <c r="J6" s="34" t="s">
        <v>73</v>
      </c>
    </row>
    <row r="7" spans="1:10" ht="15.75" x14ac:dyDescent="0.25">
      <c r="A7" s="6">
        <v>3</v>
      </c>
      <c r="B7" s="74" t="s">
        <v>15</v>
      </c>
      <c r="C7" s="75">
        <v>800000</v>
      </c>
      <c r="E7" s="6">
        <v>2</v>
      </c>
      <c r="F7" s="78" t="s">
        <v>28</v>
      </c>
      <c r="G7" s="75">
        <v>350000</v>
      </c>
      <c r="I7" s="6">
        <v>2</v>
      </c>
      <c r="J7" s="34" t="s">
        <v>74</v>
      </c>
    </row>
    <row r="8" spans="1:10" ht="15.75" x14ac:dyDescent="0.25">
      <c r="A8" s="6">
        <v>4</v>
      </c>
      <c r="B8" s="74" t="s">
        <v>31</v>
      </c>
      <c r="C8" s="75">
        <v>1000000</v>
      </c>
      <c r="E8" s="6">
        <v>3</v>
      </c>
      <c r="F8" s="79" t="s">
        <v>36</v>
      </c>
      <c r="G8" s="75">
        <v>380000</v>
      </c>
      <c r="I8" s="6">
        <v>3</v>
      </c>
      <c r="J8" s="34" t="s">
        <v>75</v>
      </c>
    </row>
    <row r="9" spans="1:10" ht="15.75" x14ac:dyDescent="0.25">
      <c r="A9" s="6">
        <v>5</v>
      </c>
      <c r="B9" s="74" t="s">
        <v>26</v>
      </c>
      <c r="C9" s="75">
        <v>1200000</v>
      </c>
      <c r="E9" s="67">
        <v>4</v>
      </c>
      <c r="F9" s="80" t="s">
        <v>29</v>
      </c>
      <c r="G9" s="75">
        <v>400000</v>
      </c>
      <c r="I9" s="6">
        <v>4</v>
      </c>
      <c r="J9" s="34" t="s">
        <v>76</v>
      </c>
    </row>
    <row r="10" spans="1:10" ht="15.75" x14ac:dyDescent="0.25">
      <c r="A10" s="6">
        <v>6</v>
      </c>
      <c r="B10" s="76" t="s">
        <v>32</v>
      </c>
      <c r="C10" s="77">
        <v>1400000</v>
      </c>
      <c r="E10" s="70">
        <v>5</v>
      </c>
      <c r="F10" s="81" t="s">
        <v>35</v>
      </c>
      <c r="G10" s="75"/>
      <c r="I10" s="6">
        <v>5</v>
      </c>
      <c r="J10" s="34" t="s">
        <v>80</v>
      </c>
    </row>
    <row r="11" spans="1:10" ht="15.75" x14ac:dyDescent="0.25">
      <c r="A11" s="6">
        <v>7</v>
      </c>
      <c r="B11" s="76" t="s">
        <v>27</v>
      </c>
      <c r="C11" s="77">
        <v>1600000</v>
      </c>
      <c r="E11" s="67">
        <v>6</v>
      </c>
      <c r="F11" s="82"/>
      <c r="G11" s="75"/>
      <c r="I11" s="6">
        <v>6</v>
      </c>
      <c r="J11" s="34"/>
    </row>
    <row r="12" spans="1:10" ht="15.75" x14ac:dyDescent="0.25">
      <c r="A12" s="6">
        <v>8</v>
      </c>
      <c r="B12" s="76" t="s">
        <v>33</v>
      </c>
      <c r="C12" s="77">
        <v>1800000</v>
      </c>
      <c r="E12" s="70">
        <v>7</v>
      </c>
      <c r="F12" s="82"/>
      <c r="G12" s="75"/>
      <c r="I12" s="6">
        <v>7</v>
      </c>
      <c r="J12" s="34"/>
    </row>
    <row r="13" spans="1:10" ht="15.75" x14ac:dyDescent="0.25">
      <c r="A13" s="6">
        <v>9</v>
      </c>
      <c r="B13" s="74"/>
      <c r="C13" s="75"/>
      <c r="I13" s="6">
        <v>8</v>
      </c>
      <c r="J13" s="34"/>
    </row>
    <row r="14" spans="1:10" ht="15.75" x14ac:dyDescent="0.25">
      <c r="A14" s="6">
        <v>10</v>
      </c>
      <c r="B14" s="74"/>
      <c r="C14" s="75"/>
      <c r="I14" s="6">
        <v>9</v>
      </c>
      <c r="J14" s="34"/>
    </row>
    <row r="15" spans="1:10" ht="15.75" x14ac:dyDescent="0.25">
      <c r="A15" s="6">
        <v>11</v>
      </c>
      <c r="B15" s="74"/>
      <c r="C15" s="75"/>
      <c r="I15" s="6">
        <v>10</v>
      </c>
      <c r="J15" s="34"/>
    </row>
    <row r="16" spans="1:10" ht="15.75" x14ac:dyDescent="0.25">
      <c r="A16" s="6">
        <v>12</v>
      </c>
      <c r="B16" s="74"/>
      <c r="C16" s="75"/>
    </row>
    <row r="17" spans="1:3" ht="15.75" x14ac:dyDescent="0.25">
      <c r="A17" s="6">
        <v>13</v>
      </c>
      <c r="B17" s="74"/>
      <c r="C17" s="75"/>
    </row>
    <row r="18" spans="1:3" ht="15.75" x14ac:dyDescent="0.25">
      <c r="A18" s="6">
        <v>14</v>
      </c>
      <c r="B18" s="74"/>
      <c r="C18" s="75"/>
    </row>
    <row r="19" spans="1:3" ht="15.75" x14ac:dyDescent="0.25">
      <c r="A19" s="6">
        <v>15</v>
      </c>
      <c r="B19" s="74"/>
      <c r="C19" s="75"/>
    </row>
    <row r="20" spans="1:3" ht="15.75" x14ac:dyDescent="0.25">
      <c r="A20" s="6">
        <v>16</v>
      </c>
      <c r="B20" s="74"/>
      <c r="C20" s="75"/>
    </row>
    <row r="21" spans="1:3" ht="15.75" x14ac:dyDescent="0.25">
      <c r="A21" s="6">
        <v>17</v>
      </c>
      <c r="B21" s="74"/>
      <c r="C21" s="75"/>
    </row>
    <row r="22" spans="1:3" ht="15.75" x14ac:dyDescent="0.25">
      <c r="A22" s="6">
        <v>18</v>
      </c>
      <c r="B22" s="74"/>
      <c r="C22" s="75"/>
    </row>
    <row r="23" spans="1:3" ht="15.75" x14ac:dyDescent="0.25">
      <c r="A23" s="6">
        <v>19</v>
      </c>
      <c r="B23" s="74"/>
      <c r="C23" s="75"/>
    </row>
    <row r="24" spans="1:3" ht="15.75" x14ac:dyDescent="0.25">
      <c r="A24" s="6">
        <v>20</v>
      </c>
      <c r="B24" s="74"/>
      <c r="C24" s="75"/>
    </row>
    <row r="25" spans="1:3" ht="15.75" x14ac:dyDescent="0.25">
      <c r="A25" s="6">
        <v>21</v>
      </c>
      <c r="B25" s="74"/>
      <c r="C25" s="75"/>
    </row>
    <row r="26" spans="1:3" ht="15.75" x14ac:dyDescent="0.25">
      <c r="A26" s="6">
        <v>22</v>
      </c>
      <c r="B26" s="74"/>
      <c r="C26" s="75"/>
    </row>
    <row r="27" spans="1:3" ht="15.75" x14ac:dyDescent="0.25">
      <c r="A27" s="6">
        <v>23</v>
      </c>
      <c r="B27" s="74"/>
      <c r="C27" s="75"/>
    </row>
    <row r="28" spans="1:3" ht="15.75" x14ac:dyDescent="0.25">
      <c r="A28" s="6">
        <v>24</v>
      </c>
      <c r="B28" s="74"/>
      <c r="C28" s="75"/>
    </row>
    <row r="29" spans="1:3" ht="15.75" x14ac:dyDescent="0.25">
      <c r="A29" s="6">
        <v>25</v>
      </c>
      <c r="B29" s="74"/>
      <c r="C29" s="75"/>
    </row>
    <row r="30" spans="1:3" ht="15.75" x14ac:dyDescent="0.25">
      <c r="A30" s="6">
        <v>26</v>
      </c>
      <c r="B30" s="74"/>
      <c r="C30" s="75"/>
    </row>
    <row r="31" spans="1:3" ht="15.75" x14ac:dyDescent="0.25">
      <c r="A31" s="6">
        <v>27</v>
      </c>
      <c r="B31" s="74"/>
      <c r="C31" s="75"/>
    </row>
    <row r="32" spans="1:3" ht="15.75" x14ac:dyDescent="0.25">
      <c r="A32" s="6">
        <v>28</v>
      </c>
      <c r="B32" s="74"/>
      <c r="C32" s="75"/>
    </row>
    <row r="33" spans="1:3" ht="15.75" x14ac:dyDescent="0.25">
      <c r="A33" s="6">
        <v>29</v>
      </c>
      <c r="B33" s="74"/>
      <c r="C33" s="75"/>
    </row>
    <row r="34" spans="1:3" ht="15.75" x14ac:dyDescent="0.25">
      <c r="A34" s="6">
        <v>30</v>
      </c>
      <c r="B34" s="74"/>
      <c r="C34" s="75"/>
    </row>
  </sheetData>
  <sheetProtection algorithmName="SHA-512" hashValue="4L+udlfynrpWiB47vFM26D6LlpnNE3dQALAO/wlJhJL9fCFEqanvSSHk4FQf9KAoNcdW2/8NFhzTqxYXRngqDg==" saltValue="j5W1SZqxISYvD/utFuUovw==" spinCount="100000" sheet="1" objects="1" scenarios="1" selectLockedCells="1"/>
  <pageMargins left="0.7" right="0.7" top="0.75" bottom="0.75" header="0.3" footer="0.3"/>
  <pageSetup orientation="portrait" horizontalDpi="300" verticalDpi="300" r:id="rId1"/>
  <ignoredErrors>
    <ignoredError sqref="G6:G9" calculatedColumn="1"/>
  </ignoredErrors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 tint="-0.34998626667073579"/>
  </sheetPr>
  <dimension ref="A2:K4"/>
  <sheetViews>
    <sheetView workbookViewId="0">
      <selection activeCell="D14" sqref="D14"/>
    </sheetView>
  </sheetViews>
  <sheetFormatPr baseColWidth="10" defaultRowHeight="15" x14ac:dyDescent="0.25"/>
  <cols>
    <col min="1" max="1" width="7.7109375" customWidth="1"/>
    <col min="2" max="2" width="16" style="1" customWidth="1"/>
    <col min="3" max="3" width="21.140625" customWidth="1"/>
    <col min="4" max="4" width="14.85546875" customWidth="1"/>
    <col min="5" max="5" width="25.42578125" customWidth="1"/>
    <col min="6" max="6" width="14" customWidth="1"/>
    <col min="7" max="7" width="25.28515625" customWidth="1"/>
    <col min="8" max="8" width="24.42578125" customWidth="1"/>
    <col min="9" max="9" width="22" customWidth="1"/>
    <col min="10" max="10" width="21.85546875" customWidth="1"/>
    <col min="11" max="11" width="18.28515625" customWidth="1"/>
  </cols>
  <sheetData>
    <row r="2" spans="1:11" x14ac:dyDescent="0.25">
      <c r="A2" t="s">
        <v>52</v>
      </c>
      <c r="B2" s="37" t="s">
        <v>0</v>
      </c>
      <c r="C2" s="3" t="s">
        <v>60</v>
      </c>
      <c r="D2" s="3" t="s">
        <v>101</v>
      </c>
      <c r="E2" s="3" t="s">
        <v>1</v>
      </c>
      <c r="F2" s="3" t="s">
        <v>7</v>
      </c>
      <c r="G2" s="3" t="s">
        <v>79</v>
      </c>
      <c r="H2" s="3" t="s">
        <v>3</v>
      </c>
      <c r="I2" s="3" t="s">
        <v>4</v>
      </c>
      <c r="J2" s="3" t="s">
        <v>5</v>
      </c>
      <c r="K2" s="3" t="s">
        <v>34</v>
      </c>
    </row>
    <row r="3" spans="1:11" x14ac:dyDescent="0.25">
      <c r="B3" s="37"/>
      <c r="C3" s="3"/>
      <c r="D3" s="3"/>
      <c r="E3" s="3"/>
      <c r="F3" s="3"/>
      <c r="G3" s="3"/>
      <c r="H3" s="3"/>
      <c r="I3" s="3"/>
      <c r="J3" s="3"/>
      <c r="K3" s="49"/>
    </row>
    <row r="4" spans="1:11" x14ac:dyDescent="0.25">
      <c r="A4">
        <f>SUBTOTAL(102,Servicios[Nº Formulario])</f>
        <v>0</v>
      </c>
      <c r="K4" s="83">
        <f>SUBTOTAL(109,Servicios[Venta])</f>
        <v>0</v>
      </c>
    </row>
  </sheetData>
  <phoneticPr fontId="7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1" tint="0.34998626667073579"/>
  </sheetPr>
  <dimension ref="A2:J4"/>
  <sheetViews>
    <sheetView workbookViewId="0">
      <selection activeCell="C18" sqref="C18"/>
    </sheetView>
  </sheetViews>
  <sheetFormatPr baseColWidth="10" defaultRowHeight="15" x14ac:dyDescent="0.25"/>
  <cols>
    <col min="2" max="2" width="18.42578125" style="1" customWidth="1"/>
    <col min="3" max="3" width="27.28515625" customWidth="1"/>
    <col min="4" max="4" width="18.140625" style="73" customWidth="1"/>
    <col min="5" max="5" width="18.7109375" style="73" customWidth="1"/>
    <col min="6" max="6" width="16.7109375" style="73" customWidth="1"/>
    <col min="7" max="7" width="15.28515625" style="73" customWidth="1"/>
    <col min="8" max="8" width="17.5703125" style="73" customWidth="1"/>
    <col min="9" max="9" width="16.140625" style="73" customWidth="1"/>
    <col min="10" max="10" width="14.140625" style="73" customWidth="1"/>
    <col min="11" max="11" width="14.85546875" customWidth="1"/>
  </cols>
  <sheetData>
    <row r="2" spans="1:10" x14ac:dyDescent="0.25">
      <c r="A2" t="s">
        <v>52</v>
      </c>
      <c r="B2" s="1" t="s">
        <v>0</v>
      </c>
      <c r="C2" s="2" t="s">
        <v>1</v>
      </c>
      <c r="D2" s="73" t="s">
        <v>61</v>
      </c>
      <c r="E2" s="73" t="s">
        <v>20</v>
      </c>
      <c r="F2" s="73" t="s">
        <v>62</v>
      </c>
      <c r="G2" s="73" t="s">
        <v>18</v>
      </c>
      <c r="H2" s="73" t="s">
        <v>39</v>
      </c>
      <c r="I2" s="73" t="s">
        <v>30</v>
      </c>
      <c r="J2" s="73" t="s">
        <v>63</v>
      </c>
    </row>
    <row r="3" spans="1:10" x14ac:dyDescent="0.25">
      <c r="C3" s="2"/>
    </row>
    <row r="4" spans="1:10" x14ac:dyDescent="0.25">
      <c r="A4">
        <f>SUBTOTAL(102,Ventas[Nº Formulario])</f>
        <v>0</v>
      </c>
      <c r="D4" s="87"/>
      <c r="E4" s="87">
        <f>SUBTOTAL(109,Ventas[Valor adicional])</f>
        <v>0</v>
      </c>
      <c r="F4" s="87">
        <f>SUBTOTAL(109,Ventas[[Total  ]])</f>
        <v>0</v>
      </c>
      <c r="G4" s="87">
        <f>SUBTOTAL(109,Ventas[Descuento])</f>
        <v>0</v>
      </c>
      <c r="H4" s="87"/>
      <c r="I4" s="87">
        <f>SUBTOTAL(109,Ventas[IVA])</f>
        <v>0</v>
      </c>
      <c r="J4" s="87">
        <f>SUBTOTAL(109,Ventas[Venta total])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theme="1" tint="0.249977111117893"/>
  </sheetPr>
  <dimension ref="A2:L4"/>
  <sheetViews>
    <sheetView tabSelected="1" workbookViewId="0">
      <selection activeCell="L12" sqref="L12"/>
    </sheetView>
  </sheetViews>
  <sheetFormatPr baseColWidth="10" defaultRowHeight="15" x14ac:dyDescent="0.25"/>
  <cols>
    <col min="2" max="2" width="15.7109375" style="1" customWidth="1"/>
    <col min="3" max="3" width="14.42578125" style="73" customWidth="1"/>
    <col min="4" max="4" width="17.140625" style="2" customWidth="1"/>
    <col min="5" max="5" width="13.140625" style="73" customWidth="1"/>
    <col min="6" max="6" width="12.7109375" style="73" customWidth="1"/>
    <col min="7" max="7" width="12.85546875" style="73" customWidth="1"/>
    <col min="8" max="8" width="18.5703125" style="73" customWidth="1"/>
    <col min="9" max="9" width="16.42578125" customWidth="1"/>
    <col min="10" max="10" width="16.85546875" style="73" customWidth="1"/>
    <col min="11" max="11" width="11.42578125" style="2"/>
    <col min="12" max="12" width="24.7109375" customWidth="1"/>
  </cols>
  <sheetData>
    <row r="2" spans="1:12" x14ac:dyDescent="0.25">
      <c r="A2" t="s">
        <v>52</v>
      </c>
      <c r="B2" s="1" t="s">
        <v>66</v>
      </c>
      <c r="C2" s="73" t="s">
        <v>67</v>
      </c>
      <c r="D2" s="2" t="s">
        <v>21</v>
      </c>
      <c r="E2" s="73" t="s">
        <v>68</v>
      </c>
      <c r="F2" s="73" t="s">
        <v>69</v>
      </c>
      <c r="G2" s="73" t="s">
        <v>46</v>
      </c>
      <c r="H2" s="73" t="s">
        <v>94</v>
      </c>
      <c r="I2" t="s">
        <v>86</v>
      </c>
      <c r="J2" s="73" t="s">
        <v>70</v>
      </c>
      <c r="K2" s="2" t="s">
        <v>71</v>
      </c>
      <c r="L2" s="2" t="s">
        <v>108</v>
      </c>
    </row>
    <row r="3" spans="1:12" x14ac:dyDescent="0.25">
      <c r="L3" s="114"/>
    </row>
    <row r="4" spans="1:12" x14ac:dyDescent="0.25">
      <c r="A4">
        <f>SUBTOTAL(102,Tabla6[Nº Formulario])</f>
        <v>0</v>
      </c>
      <c r="C4" s="87">
        <f>SUBTOTAL(109,Tabla6[Venta Total])</f>
        <v>0</v>
      </c>
      <c r="E4" s="87">
        <f>SUBTOTAL(109,Tabla6[Valor])</f>
        <v>0</v>
      </c>
      <c r="F4" s="87">
        <f>SUBTOTAL(109,Tabla6[[Efectivo ]])</f>
        <v>0</v>
      </c>
      <c r="G4" s="87">
        <f>SUBTOTAL(109,Tabla6[Tarjeta])</f>
        <v>0</v>
      </c>
      <c r="H4" s="87">
        <f>SUBTOTAL(109,Tabla6[Monto en Cuotas])</f>
        <v>0</v>
      </c>
      <c r="J4" s="87">
        <f>SUBTOTAL(109,Tabla6[Valor Cheques])</f>
        <v>0</v>
      </c>
      <c r="L4" s="11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theme="2" tint="-0.749992370372631"/>
  </sheetPr>
  <dimension ref="A2:F4"/>
  <sheetViews>
    <sheetView workbookViewId="0">
      <selection activeCell="C14" sqref="C14"/>
    </sheetView>
  </sheetViews>
  <sheetFormatPr baseColWidth="10" defaultRowHeight="15" x14ac:dyDescent="0.25"/>
  <cols>
    <col min="1" max="1" width="16" customWidth="1"/>
    <col min="2" max="2" width="15.7109375" style="73" customWidth="1"/>
    <col min="3" max="3" width="14.85546875" customWidth="1"/>
    <col min="4" max="4" width="16.28515625" style="1" customWidth="1"/>
    <col min="5" max="5" width="14.5703125" customWidth="1"/>
    <col min="6" max="6" width="15.5703125" customWidth="1"/>
  </cols>
  <sheetData>
    <row r="2" spans="1:6" x14ac:dyDescent="0.25">
      <c r="A2" t="s">
        <v>52</v>
      </c>
      <c r="B2" s="73" t="s">
        <v>48</v>
      </c>
      <c r="C2" t="s">
        <v>58</v>
      </c>
      <c r="D2" s="1" t="s">
        <v>49</v>
      </c>
      <c r="E2" t="s">
        <v>64</v>
      </c>
      <c r="F2" t="s">
        <v>84</v>
      </c>
    </row>
    <row r="3" spans="1:6" x14ac:dyDescent="0.25">
      <c r="E3" s="94"/>
    </row>
    <row r="4" spans="1:6" x14ac:dyDescent="0.25">
      <c r="A4">
        <f>SUBTOTAL(102,Tabla7[Nº Formulario])</f>
        <v>0</v>
      </c>
      <c r="B4" s="87">
        <f>SUBTOTAL(109,Tabla7[Monto])</f>
        <v>0</v>
      </c>
      <c r="E4" s="4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 tint="4.9989318521683403E-2"/>
  </sheetPr>
  <dimension ref="A2:I4"/>
  <sheetViews>
    <sheetView workbookViewId="0">
      <selection activeCell="C14" sqref="C14"/>
    </sheetView>
  </sheetViews>
  <sheetFormatPr baseColWidth="10" defaultRowHeight="15" x14ac:dyDescent="0.25"/>
  <cols>
    <col min="2" max="2" width="18.5703125" style="1" customWidth="1"/>
    <col min="3" max="3" width="25.7109375" customWidth="1"/>
    <col min="4" max="4" width="18.42578125" customWidth="1"/>
    <col min="5" max="5" width="14.28515625" customWidth="1"/>
    <col min="6" max="6" width="18.42578125" style="1" customWidth="1"/>
    <col min="7" max="7" width="25.42578125" customWidth="1"/>
    <col min="8" max="8" width="23.140625" customWidth="1"/>
    <col min="9" max="9" width="16.140625" customWidth="1"/>
  </cols>
  <sheetData>
    <row r="2" spans="1:9" x14ac:dyDescent="0.25">
      <c r="A2" t="s">
        <v>52</v>
      </c>
      <c r="B2" s="1" t="s">
        <v>0</v>
      </c>
      <c r="C2" t="s">
        <v>40</v>
      </c>
      <c r="D2" t="s">
        <v>9</v>
      </c>
      <c r="E2" t="s">
        <v>10</v>
      </c>
      <c r="F2" t="s">
        <v>96</v>
      </c>
      <c r="G2" s="1" t="s">
        <v>41</v>
      </c>
      <c r="H2" t="s">
        <v>42</v>
      </c>
      <c r="I2" t="s">
        <v>13</v>
      </c>
    </row>
    <row r="3" spans="1:9" x14ac:dyDescent="0.25">
      <c r="F3"/>
      <c r="G3" s="1"/>
    </row>
    <row r="4" spans="1:9" x14ac:dyDescent="0.25">
      <c r="A4">
        <f>SUBTOTAL(102,Tabla4[Nº Formulario])</f>
        <v>0</v>
      </c>
      <c r="E4" t="e">
        <f>SUBTOTAL(101,Tabla4[Edad])</f>
        <v>#DIV/0!</v>
      </c>
      <c r="F4"/>
      <c r="G4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879B08-9226-47E8-8482-B3E4844362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FORMULARIO</vt:lpstr>
      <vt:lpstr>VALORES</vt:lpstr>
      <vt:lpstr>SERVICIOS</vt:lpstr>
      <vt:lpstr>VENTAS</vt:lpstr>
      <vt:lpstr>FORMAS DE PAGO</vt:lpstr>
      <vt:lpstr>CHEQUES</vt:lpstr>
      <vt:lpstr>FALLECIDOS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Funeraria</dc:title>
  <dc:creator>Sebastian Valdes</dc:creator>
  <cp:lastModifiedBy>Sebastian Valdés</cp:lastModifiedBy>
  <cp:lastPrinted>2020-12-07T20:29:12Z</cp:lastPrinted>
  <dcterms:created xsi:type="dcterms:W3CDTF">2020-06-03T00:24:21Z</dcterms:created>
  <dcterms:modified xsi:type="dcterms:W3CDTF">2021-08-23T19:45:24Z</dcterms:modified>
</cp:coreProperties>
</file>